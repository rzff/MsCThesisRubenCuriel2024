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en/Documents/GitHub/MsCThesisRubenCuriel2024/"/>
    </mc:Choice>
  </mc:AlternateContent>
  <xr:revisionPtr revIDLastSave="0" documentId="13_ncr:1_{C6DD87F1-044C-DE4A-89A5-3103A8C3F6F6}" xr6:coauthVersionLast="47" xr6:coauthVersionMax="47" xr10:uidLastSave="{00000000-0000-0000-0000-000000000000}"/>
  <bookViews>
    <workbookView xWindow="34400" yWindow="0" windowWidth="34400" windowHeight="28800" activeTab="2" xr2:uid="{2E1915B0-7602-6741-9E9B-047E1F03331F}"/>
  </bookViews>
  <sheets>
    <sheet name="770" sheetId="1" r:id="rId1"/>
    <sheet name="Both" sheetId="3" r:id="rId2"/>
    <sheet name="Till2024" sheetId="4" r:id="rId3"/>
    <sheet name="Sheet6" sheetId="6" r:id="rId4"/>
    <sheet name="Sheet5" sheetId="5" r:id="rId5"/>
    <sheet name="1440" sheetId="2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5" l="1"/>
  <c r="D14" i="5"/>
  <c r="H18" i="4"/>
  <c r="D18" i="4"/>
  <c r="D19" i="4"/>
  <c r="F10" i="2"/>
  <c r="F11" i="2" s="1"/>
  <c r="X5" i="1"/>
  <c r="X4" i="1"/>
  <c r="X3" i="1"/>
  <c r="W5" i="1"/>
  <c r="W4" i="1"/>
  <c r="W3" i="1"/>
  <c r="V5" i="1"/>
  <c r="V4" i="1"/>
  <c r="V3" i="1"/>
  <c r="U5" i="1"/>
  <c r="U4" i="1"/>
  <c r="U3" i="1"/>
  <c r="C19" i="4"/>
  <c r="E19" i="4"/>
  <c r="F19" i="4"/>
  <c r="G19" i="4"/>
  <c r="H19" i="4"/>
  <c r="I19" i="4"/>
  <c r="J19" i="4"/>
  <c r="K19" i="4"/>
  <c r="L19" i="4"/>
  <c r="M19" i="4"/>
  <c r="B19" i="4"/>
  <c r="C15" i="5"/>
  <c r="D15" i="5"/>
  <c r="E15" i="5"/>
  <c r="F15" i="5"/>
  <c r="G15" i="5"/>
  <c r="H15" i="5"/>
  <c r="I15" i="5"/>
  <c r="J15" i="5"/>
  <c r="K15" i="5"/>
  <c r="L15" i="5"/>
  <c r="M15" i="5"/>
  <c r="B15" i="5"/>
  <c r="M11" i="1"/>
  <c r="I11" i="1"/>
  <c r="J11" i="1"/>
  <c r="K11" i="1"/>
  <c r="L11" i="1"/>
  <c r="C11" i="2"/>
  <c r="D11" i="2"/>
  <c r="E11" i="2"/>
  <c r="G11" i="2"/>
  <c r="H11" i="2"/>
  <c r="I11" i="2"/>
  <c r="J11" i="2"/>
  <c r="K11" i="2"/>
  <c r="L11" i="2"/>
  <c r="M11" i="2"/>
  <c r="B11" i="2"/>
  <c r="C13" i="1"/>
  <c r="D13" i="1"/>
  <c r="E13" i="1"/>
  <c r="F13" i="1"/>
  <c r="G13" i="1"/>
  <c r="H13" i="1"/>
  <c r="I13" i="1"/>
  <c r="J13" i="1"/>
  <c r="K13" i="1"/>
  <c r="L13" i="1"/>
  <c r="M13" i="1"/>
  <c r="B14" i="1"/>
  <c r="B15" i="1"/>
  <c r="B16" i="1"/>
  <c r="B17" i="1"/>
  <c r="B13" i="1"/>
  <c r="B12" i="1"/>
  <c r="C14" i="5"/>
  <c r="E14" i="5"/>
  <c r="F14" i="5"/>
  <c r="G14" i="5"/>
  <c r="I14" i="5"/>
  <c r="J14" i="5"/>
  <c r="K14" i="5"/>
  <c r="L14" i="5"/>
  <c r="M14" i="5"/>
  <c r="B14" i="5"/>
  <c r="B26" i="5"/>
  <c r="B25" i="5"/>
  <c r="B24" i="5"/>
  <c r="B19" i="5"/>
  <c r="B18" i="5"/>
  <c r="B48" i="4"/>
  <c r="B27" i="3"/>
  <c r="B26" i="3"/>
  <c r="L10" i="2"/>
  <c r="K10" i="2"/>
  <c r="M10" i="2"/>
  <c r="B27" i="4"/>
  <c r="B26" i="4"/>
  <c r="B25" i="4"/>
  <c r="C18" i="4"/>
  <c r="E18" i="4"/>
  <c r="F18" i="4"/>
  <c r="G18" i="4"/>
  <c r="I18" i="4"/>
  <c r="J18" i="4"/>
  <c r="K18" i="4"/>
  <c r="L18" i="4"/>
  <c r="M18" i="4"/>
  <c r="B18" i="4"/>
  <c r="B23" i="4"/>
  <c r="B21" i="4"/>
  <c r="B20" i="4"/>
  <c r="B18" i="3"/>
  <c r="C18" i="3"/>
  <c r="D18" i="3"/>
  <c r="E18" i="3"/>
  <c r="G18" i="3"/>
  <c r="H18" i="3"/>
  <c r="I18" i="3"/>
  <c r="J18" i="3"/>
  <c r="K18" i="3"/>
  <c r="L18" i="3"/>
  <c r="M18" i="3"/>
  <c r="C10" i="2"/>
  <c r="D10" i="2"/>
  <c r="E10" i="2"/>
  <c r="G10" i="2"/>
  <c r="H10" i="2"/>
  <c r="I10" i="2"/>
  <c r="J10" i="2"/>
  <c r="B10" i="2"/>
  <c r="B23" i="3"/>
  <c r="B22" i="3"/>
  <c r="B20" i="3"/>
  <c r="B21" i="3"/>
  <c r="F18" i="3"/>
  <c r="C11" i="1"/>
  <c r="C12" i="1" s="1"/>
  <c r="D11" i="1"/>
  <c r="D12" i="1" s="1"/>
  <c r="E11" i="1"/>
  <c r="E12" i="1" s="1"/>
  <c r="F11" i="1"/>
  <c r="G11" i="1"/>
  <c r="H11" i="1"/>
  <c r="B11" i="1"/>
  <c r="B25" i="3"/>
  <c r="B20" i="5" l="1"/>
  <c r="B22" i="4"/>
</calcChain>
</file>

<file path=xl/sharedStrings.xml><?xml version="1.0" encoding="utf-8"?>
<sst xmlns="http://schemas.openxmlformats.org/spreadsheetml/2006/main" count="675" uniqueCount="220">
  <si>
    <t>Fold 1</t>
  </si>
  <si>
    <t>RMSE</t>
  </si>
  <si>
    <t>MAPE</t>
  </si>
  <si>
    <t>PCC</t>
  </si>
  <si>
    <t>Fold 2</t>
  </si>
  <si>
    <t>Fold 3</t>
  </si>
  <si>
    <t>Fold 4</t>
  </si>
  <si>
    <t>Fold 5</t>
  </si>
  <si>
    <t>Fold 6</t>
  </si>
  <si>
    <t>Fold 7</t>
  </si>
  <si>
    <t>Fold 8</t>
  </si>
  <si>
    <t>Classic</t>
  </si>
  <si>
    <t>Epoch</t>
  </si>
  <si>
    <t>Baseline</t>
  </si>
  <si>
    <t xml:space="preserve"> </t>
  </si>
  <si>
    <t>Quantum_MAPE</t>
  </si>
  <si>
    <t>Quantum_RMSE</t>
  </si>
  <si>
    <t>Quantum_PCC</t>
  </si>
  <si>
    <t>Quantum_Epoch</t>
  </si>
  <si>
    <t>RMSE different</t>
  </si>
  <si>
    <t xml:space="preserve">MAPE </t>
  </si>
  <si>
    <t>PPC different</t>
  </si>
  <si>
    <t>Average</t>
  </si>
  <si>
    <t>delta</t>
  </si>
  <si>
    <t xml:space="preserve"> - DailyPrecipitation</t>
  </si>
  <si>
    <t xml:space="preserve"> - MaxHourlyPrecipitation</t>
  </si>
  <si>
    <t xml:space="preserve"> - HDMaxPrecipitation</t>
  </si>
  <si>
    <t xml:space="preserve"> - DailyMeanTemperature</t>
  </si>
  <si>
    <t xml:space="preserve"> - HourlyMinTemperature</t>
  </si>
  <si>
    <t xml:space="preserve"> - HDMinTemperature</t>
  </si>
  <si>
    <t xml:space="preserve"> - HourlyMaxTemperature</t>
  </si>
  <si>
    <t xml:space="preserve"> - yhat</t>
  </si>
  <si>
    <t xml:space="preserve"> - weekly</t>
  </si>
  <si>
    <t xml:space="preserve"> - Month</t>
  </si>
  <si>
    <t xml:space="preserve"> - Week</t>
  </si>
  <si>
    <t xml:space="preserve"> - euro per m3</t>
  </si>
  <si>
    <t xml:space="preserve"> - yearly</t>
  </si>
  <si>
    <t xml:space="preserve"> - euro per kWh.1</t>
  </si>
  <si>
    <t xml:space="preserve"> - Opbouw bbp vanuit de finale bestedingen|Finale bestedingen|Nationale finale bestedingen|Verandering in voorraden</t>
  </si>
  <si>
    <t xml:space="preserve"> - CPI afgeleid | 2015 = 100</t>
  </si>
  <si>
    <t xml:space="preserve"> - CPI | 2015 = 100</t>
  </si>
  <si>
    <t xml:space="preserve"> - trend</t>
  </si>
  <si>
    <t>14.25</t>
  </si>
  <si>
    <t xml:space="preserve"> - Werkzame beroepsbevolking|Seizoengecorrigeerd</t>
  </si>
  <si>
    <t xml:space="preserve"> - euro per m3.1</t>
  </si>
  <si>
    <t xml:space="preserve"> - euro per kWh.2</t>
  </si>
  <si>
    <t xml:space="preserve"> - Crude oil</t>
  </si>
  <si>
    <t xml:space="preserve"> WTI | ($/bbl)</t>
  </si>
  <si>
    <t xml:space="preserve"> - Coal</t>
  </si>
  <si>
    <t xml:space="preserve"> Australian | ($/mt)</t>
  </si>
  <si>
    <t xml:space="preserve"> - Natural gas  US | ($/mmbtu)</t>
  </si>
  <si>
    <t xml:space="preserve"> - Beroepsbevolking|Seizoengecorrigeerd</t>
  </si>
  <si>
    <t xml:space="preserve"> - Opbouw bbp vanuit de finale bestedingen|Finale bestedingen|Nationale finale bestedingen|Consumptieve bestedingen|Huishoudens</t>
  </si>
  <si>
    <t xml:space="preserve"> - Opbouw bbp vanuit de finale bestedingen|Finale bestedingen|Nationale finale bestedingen|Bruto investeringen in vaste activa|Overheid</t>
  </si>
  <si>
    <t>RMSE T-test</t>
  </si>
  <si>
    <t>avg</t>
  </si>
  <si>
    <t>MAPE T.test</t>
  </si>
  <si>
    <t>PCC T-test</t>
  </si>
  <si>
    <t>EPOCH T-test</t>
  </si>
  <si>
    <t>Fold 1 -1440</t>
  </si>
  <si>
    <t>Fold 2-1440</t>
  </si>
  <si>
    <t>Fold 3-1440</t>
  </si>
  <si>
    <t>Fold 4-1440</t>
  </si>
  <si>
    <t>Fold 5-1440</t>
  </si>
  <si>
    <t>Fold 6-1440</t>
  </si>
  <si>
    <t>Fold 7-1440</t>
  </si>
  <si>
    <t>Fold 8-1440</t>
  </si>
  <si>
    <t>Fold 1-770</t>
  </si>
  <si>
    <t>Fold 2-770</t>
  </si>
  <si>
    <t>Fold 3-770</t>
  </si>
  <si>
    <t>Fold 4-770</t>
  </si>
  <si>
    <t>Fold 5-770</t>
  </si>
  <si>
    <t>Fold 6-770</t>
  </si>
  <si>
    <t>Fold 7-770</t>
  </si>
  <si>
    <t>Fold 8-770</t>
  </si>
  <si>
    <t xml:space="preserve"> - euro per kWh,1</t>
  </si>
  <si>
    <t xml:space="preserve"> - euro per m3,1</t>
  </si>
  <si>
    <t xml:space="preserve"> - euro per kWh,2</t>
  </si>
  <si>
    <t xml:space="preserve"> - Gas price</t>
  </si>
  <si>
    <t xml:space="preserve"> - Electriciy Price</t>
  </si>
  <si>
    <t>beg</t>
  </si>
  <si>
    <t>Stacked_RMSE</t>
  </si>
  <si>
    <t>Stacked_MAPE</t>
  </si>
  <si>
    <t>Stacked_PCC</t>
  </si>
  <si>
    <t>10.89</t>
  </si>
  <si>
    <t>0.411</t>
  </si>
  <si>
    <t>Fold 1 - 770</t>
  </si>
  <si>
    <t>Fold 2 - 770</t>
  </si>
  <si>
    <t>Fold 3  - 770</t>
  </si>
  <si>
    <t>Fold 4 - 770</t>
  </si>
  <si>
    <t>13.95</t>
  </si>
  <si>
    <t>T test RMSE</t>
  </si>
  <si>
    <t>T test mape</t>
  </si>
  <si>
    <t>T test PCC</t>
  </si>
  <si>
    <t>T-Test Epoch</t>
  </si>
  <si>
    <t>LSTM vs QLSTM</t>
  </si>
  <si>
    <t>LSTM vs Stacked</t>
  </si>
  <si>
    <t>4495.80</t>
  </si>
  <si>
    <t>55.25</t>
  </si>
  <si>
    <t>0.424</t>
  </si>
  <si>
    <t>2297.82</t>
  </si>
  <si>
    <t>16.88</t>
  </si>
  <si>
    <t>12.98</t>
  </si>
  <si>
    <t>1738.41</t>
  </si>
  <si>
    <t>12.17</t>
  </si>
  <si>
    <t>0.259</t>
  </si>
  <si>
    <t>2456.48</t>
  </si>
  <si>
    <t>19.56</t>
  </si>
  <si>
    <t>2449.28</t>
  </si>
  <si>
    <t>22.31</t>
  </si>
  <si>
    <t>1884.18</t>
  </si>
  <si>
    <t>13.99</t>
  </si>
  <si>
    <t>0.155</t>
  </si>
  <si>
    <t>15.30</t>
  </si>
  <si>
    <t>15.51</t>
  </si>
  <si>
    <t>2768.40</t>
  </si>
  <si>
    <t>18.86</t>
  </si>
  <si>
    <t>0.714</t>
  </si>
  <si>
    <t>2270.54</t>
  </si>
  <si>
    <t>17.57</t>
  </si>
  <si>
    <t>0.658</t>
  </si>
  <si>
    <t>1748.79</t>
  </si>
  <si>
    <t>10.87</t>
  </si>
  <si>
    <t>0.661</t>
  </si>
  <si>
    <t>11.44</t>
  </si>
  <si>
    <t>2088.23</t>
  </si>
  <si>
    <t>13.73</t>
  </si>
  <si>
    <t>0.347</t>
  </si>
  <si>
    <t>1936.80</t>
  </si>
  <si>
    <t>13.08</t>
  </si>
  <si>
    <t>0.363</t>
  </si>
  <si>
    <t>1654.85</t>
  </si>
  <si>
    <t>10.13</t>
  </si>
  <si>
    <t>0.435</t>
  </si>
  <si>
    <t>33.50</t>
  </si>
  <si>
    <t>0.388</t>
  </si>
  <si>
    <t>3864.58</t>
  </si>
  <si>
    <t>1944.03</t>
  </si>
  <si>
    <t>16.62</t>
  </si>
  <si>
    <t>0.036</t>
  </si>
  <si>
    <t>1772.73</t>
  </si>
  <si>
    <t>12.18</t>
  </si>
  <si>
    <t>0.172</t>
  </si>
  <si>
    <t>2075.81</t>
  </si>
  <si>
    <t>15.11</t>
  </si>
  <si>
    <t>0.222</t>
  </si>
  <si>
    <t>2415.80</t>
  </si>
  <si>
    <t>24.34</t>
  </si>
  <si>
    <t>0.179</t>
  </si>
  <si>
    <t>6 </t>
  </si>
  <si>
    <t>1866.42</t>
  </si>
  <si>
    <t>13.94</t>
  </si>
  <si>
    <t>0.206</t>
  </si>
  <si>
    <t>0.446</t>
  </si>
  <si>
    <t>1788.71</t>
  </si>
  <si>
    <t>1904.48</t>
  </si>
  <si>
    <t>11.17</t>
  </si>
  <si>
    <t>0.376</t>
  </si>
  <si>
    <t>1705.34</t>
  </si>
  <si>
    <t>10.92</t>
  </si>
  <si>
    <t>0.514</t>
  </si>
  <si>
    <t>2131.33</t>
  </si>
  <si>
    <t>17.19</t>
  </si>
  <si>
    <t>0.328</t>
  </si>
  <si>
    <t>2218.26</t>
  </si>
  <si>
    <t>17.28</t>
  </si>
  <si>
    <t>0.035</t>
  </si>
  <si>
    <t>1668.80</t>
  </si>
  <si>
    <t>10.57</t>
  </si>
  <si>
    <t>0.419</t>
  </si>
  <si>
    <t>4685.54</t>
  </si>
  <si>
    <t>57.64</t>
  </si>
  <si>
    <t>0.405</t>
  </si>
  <si>
    <t>2414.28</t>
  </si>
  <si>
    <t>24.64</t>
  </si>
  <si>
    <t>0.253</t>
  </si>
  <si>
    <t>1721.66</t>
  </si>
  <si>
    <t>11.97</t>
  </si>
  <si>
    <t>0.291</t>
  </si>
  <si>
    <t>2242.24</t>
  </si>
  <si>
    <t>20.30</t>
  </si>
  <si>
    <t>0.001</t>
  </si>
  <si>
    <t>2295.09</t>
  </si>
  <si>
    <t>25.34</t>
  </si>
  <si>
    <t>0.171</t>
  </si>
  <si>
    <t>1868.86</t>
  </si>
  <si>
    <t>0.199</t>
  </si>
  <si>
    <t>1975.98</t>
  </si>
  <si>
    <t>11.29</t>
  </si>
  <si>
    <t>0.354</t>
  </si>
  <si>
    <t>1906.54</t>
  </si>
  <si>
    <t>1875.95</t>
  </si>
  <si>
    <t>11.83</t>
  </si>
  <si>
    <t>0.331</t>
  </si>
  <si>
    <t>2041.99</t>
  </si>
  <si>
    <t>14.81</t>
  </si>
  <si>
    <t>0.397</t>
  </si>
  <si>
    <t>1944.74</t>
  </si>
  <si>
    <t>15.39</t>
  </si>
  <si>
    <t>0.267</t>
  </si>
  <si>
    <t>1675.73</t>
  </si>
  <si>
    <t>10.38</t>
  </si>
  <si>
    <t>RMSE T.test</t>
  </si>
  <si>
    <t>Mape T.test</t>
  </si>
  <si>
    <t>Pcc</t>
  </si>
  <si>
    <t>RMSE T,test</t>
  </si>
  <si>
    <t>Classic vs Quantum</t>
  </si>
  <si>
    <t>Classic vs stacked</t>
  </si>
  <si>
    <t>Standard deviation</t>
  </si>
  <si>
    <t>standard deviation</t>
  </si>
  <si>
    <t>RMSE T-Test</t>
  </si>
  <si>
    <t>MAPE T-test</t>
  </si>
  <si>
    <t>770 - 8folds</t>
  </si>
  <si>
    <t>1440 -8 folds</t>
  </si>
  <si>
    <t>770-4folds</t>
  </si>
  <si>
    <t>1440-4folds</t>
  </si>
  <si>
    <t>770 LSTM vs QLSTM</t>
  </si>
  <si>
    <t>770 LSTM vs Stacked QLSTM</t>
  </si>
  <si>
    <t>1440 LSTM vs QLSTM</t>
  </si>
  <si>
    <t>1440  LSTM vs Stacked QLSTM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</si>
</sst>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2" fillId="0" borderId="0" xfId="0" applyFont="1"/>
    <xf numFmtId="10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RMSE</a:t>
            </a:r>
            <a:r>
              <a:rPr lang="en-GB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2.2305474241167172E-2"/>
          <c:y val="1.3108638866442411E-2"/>
          <c:w val="0.96497086770714302"/>
          <c:h val="0.85630485031853121"/>
        </c:manualLayout>
      </c:layout>
      <c:lineChart>
        <c:grouping val="standard"/>
        <c:varyColors val="0"/>
        <c:ser>
          <c:idx val="0"/>
          <c:order val="0"/>
          <c:tx>
            <c:v>RMSE Classic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'770'!$B$3:$B$10</c:f>
              <c:numCache>
                <c:formatCode>General</c:formatCode>
                <c:ptCount val="8"/>
                <c:pt idx="0">
                  <c:v>2216.79</c:v>
                </c:pt>
                <c:pt idx="1">
                  <c:v>2562.1</c:v>
                </c:pt>
                <c:pt idx="2">
                  <c:v>1909.64</c:v>
                </c:pt>
                <c:pt idx="3">
                  <c:v>2174.9699999999998</c:v>
                </c:pt>
                <c:pt idx="4">
                  <c:v>2148.86</c:v>
                </c:pt>
                <c:pt idx="5">
                  <c:v>2192.7800000000002</c:v>
                </c:pt>
                <c:pt idx="6">
                  <c:v>2486.08</c:v>
                </c:pt>
                <c:pt idx="7">
                  <c:v>2532.29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3C7-8045-B219-A1504B40DD0B}"/>
            </c:ext>
          </c:extLst>
        </c:ser>
        <c:ser>
          <c:idx val="1"/>
          <c:order val="1"/>
          <c:tx>
            <c:v>RMSE Quantum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'770'!$F$3:$F$10</c:f>
              <c:numCache>
                <c:formatCode>General</c:formatCode>
                <c:ptCount val="8"/>
                <c:pt idx="0">
                  <c:v>2330.79</c:v>
                </c:pt>
                <c:pt idx="1">
                  <c:v>2303.7199999999998</c:v>
                </c:pt>
                <c:pt idx="2">
                  <c:v>2059.33</c:v>
                </c:pt>
                <c:pt idx="3">
                  <c:v>2544.9499999999998</c:v>
                </c:pt>
                <c:pt idx="4">
                  <c:v>2400.58</c:v>
                </c:pt>
                <c:pt idx="5">
                  <c:v>2681.14</c:v>
                </c:pt>
                <c:pt idx="6">
                  <c:v>2369.4</c:v>
                </c:pt>
                <c:pt idx="7">
                  <c:v>2291.9499999999998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3C7-8045-B219-A1504B40D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3407"/>
        <c:axId val="14275599"/>
      </c:lineChart>
      <c:catAx>
        <c:axId val="14333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75599"/>
        <c:crosses val="autoZero"/>
        <c:auto val="1"/>
        <c:lblAlgn val="ctr"/>
        <c:lblOffset val="100"/>
        <c:noMultiLvlLbl val="0"/>
      </c:catAx>
      <c:valAx>
        <c:axId val="1427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33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MAPE</a:t>
            </a:r>
            <a:r>
              <a:rPr lang="en-GB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1.6643446408165178E-2"/>
          <c:y val="4.1748257004867229E-2"/>
          <c:w val="0.97222335279660621"/>
          <c:h val="0.8563048503185312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'770'!$C$3:$C$10</c:f>
              <c:numCache>
                <c:formatCode>General</c:formatCode>
                <c:ptCount val="8"/>
                <c:pt idx="0">
                  <c:v>18.760000000000002</c:v>
                </c:pt>
                <c:pt idx="1">
                  <c:v>20.079999999999998</c:v>
                </c:pt>
                <c:pt idx="2">
                  <c:v>12.79</c:v>
                </c:pt>
                <c:pt idx="3">
                  <c:v>18.77</c:v>
                </c:pt>
                <c:pt idx="4">
                  <c:v>16.86</c:v>
                </c:pt>
                <c:pt idx="5">
                  <c:v>14.06</c:v>
                </c:pt>
                <c:pt idx="6">
                  <c:v>19.54</c:v>
                </c:pt>
                <c:pt idx="7">
                  <c:v>17.48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A-854A-86B1-5FB56D2817B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'770'!$G$3:$G$10</c:f>
              <c:numCache>
                <c:formatCode>General</c:formatCode>
                <c:ptCount val="8"/>
                <c:pt idx="0">
                  <c:v>16.7</c:v>
                </c:pt>
                <c:pt idx="1">
                  <c:v>22.95</c:v>
                </c:pt>
                <c:pt idx="2">
                  <c:v>15.74</c:v>
                </c:pt>
                <c:pt idx="3">
                  <c:v>18.739999999999998</c:v>
                </c:pt>
                <c:pt idx="4">
                  <c:v>19.579999999999998</c:v>
                </c:pt>
                <c:pt idx="5">
                  <c:v>26.75</c:v>
                </c:pt>
                <c:pt idx="6">
                  <c:v>15.96</c:v>
                </c:pt>
                <c:pt idx="7">
                  <c:v>19.79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5A-854A-86B1-5FB56D281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3407"/>
        <c:axId val="14275599"/>
      </c:lineChart>
      <c:catAx>
        <c:axId val="14333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75599"/>
        <c:crosses val="autoZero"/>
        <c:auto val="1"/>
        <c:lblAlgn val="ctr"/>
        <c:lblOffset val="100"/>
        <c:noMultiLvlLbl val="0"/>
      </c:catAx>
      <c:valAx>
        <c:axId val="1427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33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PCC</a:t>
            </a:r>
            <a:r>
              <a:rPr lang="en-GB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'770'!$D$3:$D$10</c:f>
              <c:numCache>
                <c:formatCode>General</c:formatCode>
                <c:ptCount val="8"/>
                <c:pt idx="0">
                  <c:v>0.307</c:v>
                </c:pt>
                <c:pt idx="1">
                  <c:v>0.42499999999999999</c:v>
                </c:pt>
                <c:pt idx="2">
                  <c:v>0.63600000000000001</c:v>
                </c:pt>
                <c:pt idx="3">
                  <c:v>0.54800000000000004</c:v>
                </c:pt>
                <c:pt idx="4">
                  <c:v>0.4</c:v>
                </c:pt>
                <c:pt idx="5">
                  <c:v>0.52400000000000002</c:v>
                </c:pt>
                <c:pt idx="6">
                  <c:v>0.21</c:v>
                </c:pt>
                <c:pt idx="7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6-3D4A-A5A9-D9FAA9F0EBF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'770'!$H$3:$H$10</c:f>
              <c:numCache>
                <c:formatCode>General</c:formatCode>
                <c:ptCount val="8"/>
                <c:pt idx="0">
                  <c:v>0.52700000000000002</c:v>
                </c:pt>
                <c:pt idx="1">
                  <c:v>0.45400000000000001</c:v>
                </c:pt>
                <c:pt idx="2">
                  <c:v>0.50700000000000001</c:v>
                </c:pt>
                <c:pt idx="3">
                  <c:v>0.44900000000000001</c:v>
                </c:pt>
                <c:pt idx="4">
                  <c:v>0.377</c:v>
                </c:pt>
                <c:pt idx="5">
                  <c:v>0.36699999999999999</c:v>
                </c:pt>
                <c:pt idx="6">
                  <c:v>0.32400000000000001</c:v>
                </c:pt>
                <c:pt idx="7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16-3D4A-A5A9-D9FAA9F0E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3407"/>
        <c:axId val="14275599"/>
      </c:lineChart>
      <c:catAx>
        <c:axId val="14333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75599"/>
        <c:crosses val="autoZero"/>
        <c:auto val="1"/>
        <c:lblAlgn val="ctr"/>
        <c:lblOffset val="100"/>
        <c:noMultiLvlLbl val="0"/>
      </c:catAx>
      <c:valAx>
        <c:axId val="1427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33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Epoch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'770'!$E$3:$E$10</c:f>
              <c:numCache>
                <c:formatCode>General</c:formatCode>
                <c:ptCount val="8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25</c:v>
                </c:pt>
                <c:pt idx="6">
                  <c:v>7</c:v>
                </c:pt>
                <c:pt idx="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1F-514F-83F6-1D2E4C3C934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'770'!$I$3:$I$10</c:f>
              <c:numCache>
                <c:formatCode>General</c:formatCode>
                <c:ptCount val="8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12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1F-514F-83F6-1D2E4C3C9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3407"/>
        <c:axId val="14275599"/>
      </c:lineChart>
      <c:catAx>
        <c:axId val="14333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75599"/>
        <c:crosses val="autoZero"/>
        <c:auto val="1"/>
        <c:lblAlgn val="ctr"/>
        <c:lblOffset val="100"/>
        <c:noMultiLvlLbl val="0"/>
      </c:catAx>
      <c:valAx>
        <c:axId val="1427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33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234950</xdr:colOff>
      <xdr:row>23</xdr:row>
      <xdr:rowOff>101600</xdr:rowOff>
    </xdr:from>
    <xdr:to>
      <xdr:col>23</xdr:col>
      <xdr:colOff>520700</xdr:colOff>
      <xdr:row>49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26D921-AE47-F2A9-0AB7-A3D7D6F73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25400</xdr:colOff>
      <xdr:row>20</xdr:row>
      <xdr:rowOff>63500</xdr:rowOff>
    </xdr:from>
    <xdr:to>
      <xdr:col>45</xdr:col>
      <xdr:colOff>311150</xdr:colOff>
      <xdr:row>46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90B55E-B2B0-C841-AA11-4201EBF81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660400</xdr:colOff>
      <xdr:row>55</xdr:row>
      <xdr:rowOff>50800</xdr:rowOff>
    </xdr:from>
    <xdr:to>
      <xdr:col>24</xdr:col>
      <xdr:colOff>120650</xdr:colOff>
      <xdr:row>81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54C8E8-D24E-EE48-BBA2-2CA7958A25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711200</xdr:colOff>
      <xdr:row>52</xdr:row>
      <xdr:rowOff>190500</xdr:rowOff>
    </xdr:from>
    <xdr:to>
      <xdr:col>45</xdr:col>
      <xdr:colOff>171450</xdr:colOff>
      <xdr:row>79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4492C4-4131-E346-8460-68DE6BD5C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8A702-5CBC-AE42-AF85-AAE24F5A0EDA}">
  <dimension ref="A1:X114"/>
  <sheetViews>
    <sheetView zoomScale="93" workbookViewId="0">
      <selection activeCell="M9" sqref="M9"/>
    </sheetView>
  </sheetViews>
  <sheetFormatPr baseColWidth="10" defaultRowHeight="16" x14ac:dyDescent="0.2"/>
  <cols>
    <col min="1" max="1" width="43.83203125" bestFit="1" customWidth="1"/>
    <col min="6" max="6" width="22" bestFit="1" customWidth="1"/>
    <col min="8" max="8" width="22" bestFit="1" customWidth="1"/>
    <col min="9" max="9" width="14.83203125" bestFit="1" customWidth="1"/>
    <col min="10" max="10" width="18.1640625" customWidth="1"/>
    <col min="11" max="11" width="21.5" customWidth="1"/>
    <col min="12" max="12" width="15.6640625" customWidth="1"/>
    <col min="13" max="13" width="34.83203125" bestFit="1" customWidth="1"/>
    <col min="21" max="21" width="17.1640625" bestFit="1" customWidth="1"/>
    <col min="22" max="22" width="24.1640625" bestFit="1" customWidth="1"/>
    <col min="23" max="23" width="13" bestFit="1" customWidth="1"/>
    <col min="24" max="24" width="24.1640625" bestFit="1" customWidth="1"/>
  </cols>
  <sheetData>
    <row r="1" spans="1:24" x14ac:dyDescent="0.2">
      <c r="A1" t="s">
        <v>11</v>
      </c>
      <c r="G1" t="s">
        <v>14</v>
      </c>
    </row>
    <row r="2" spans="1:24" x14ac:dyDescent="0.2">
      <c r="B2" t="s">
        <v>1</v>
      </c>
      <c r="C2" t="s">
        <v>2</v>
      </c>
      <c r="D2" t="s">
        <v>3</v>
      </c>
      <c r="E2" t="s">
        <v>12</v>
      </c>
      <c r="F2" t="s">
        <v>16</v>
      </c>
      <c r="G2" t="s">
        <v>15</v>
      </c>
      <c r="H2" t="s">
        <v>17</v>
      </c>
      <c r="I2" t="s">
        <v>18</v>
      </c>
      <c r="J2" t="s">
        <v>13</v>
      </c>
      <c r="K2" s="2" t="s">
        <v>81</v>
      </c>
      <c r="L2" s="2" t="s">
        <v>82</v>
      </c>
      <c r="M2" s="2" t="s">
        <v>83</v>
      </c>
      <c r="U2" t="s">
        <v>216</v>
      </c>
      <c r="V2" t="s">
        <v>217</v>
      </c>
      <c r="W2" t="s">
        <v>218</v>
      </c>
      <c r="X2" t="s">
        <v>219</v>
      </c>
    </row>
    <row r="3" spans="1:24" x14ac:dyDescent="0.2">
      <c r="A3" t="s">
        <v>0</v>
      </c>
      <c r="B3">
        <v>2216.79</v>
      </c>
      <c r="C3">
        <v>18.760000000000002</v>
      </c>
      <c r="D3">
        <v>0.307</v>
      </c>
      <c r="E3">
        <v>7</v>
      </c>
      <c r="F3">
        <v>2330.79</v>
      </c>
      <c r="G3">
        <v>16.7</v>
      </c>
      <c r="H3">
        <v>0.52700000000000002</v>
      </c>
      <c r="I3">
        <v>7</v>
      </c>
      <c r="J3">
        <v>17.649999999999999</v>
      </c>
      <c r="K3">
        <v>1847.41</v>
      </c>
      <c r="L3">
        <v>12.09</v>
      </c>
      <c r="M3">
        <v>0.64600000000000002</v>
      </c>
      <c r="T3" t="s">
        <v>1</v>
      </c>
      <c r="U3">
        <f>_xlfn.T.TEST(B3:B10,F3:F10,1,1)</f>
        <v>0.18335091687911514</v>
      </c>
      <c r="V3">
        <f>_xlfn.T.TEST(B3:B10,K3:K10,1,1)</f>
        <v>1.8714306591049691E-3</v>
      </c>
      <c r="W3">
        <f>_xlfn.T.TEST(Both!B2:B9,Both!F2:F9,1,1)</f>
        <v>9.9219286503733337E-2</v>
      </c>
      <c r="X3">
        <f>_xlfn.T.TEST(Both!C2:C9,Both!K2:K9,1,1)</f>
        <v>2.0944258366581086E-10</v>
      </c>
    </row>
    <row r="4" spans="1:24" x14ac:dyDescent="0.2">
      <c r="A4" t="s">
        <v>4</v>
      </c>
      <c r="B4">
        <v>2562.1</v>
      </c>
      <c r="C4">
        <v>20.079999999999998</v>
      </c>
      <c r="D4">
        <v>0.42499999999999999</v>
      </c>
      <c r="E4">
        <v>7</v>
      </c>
      <c r="F4">
        <v>2303.7199999999998</v>
      </c>
      <c r="G4">
        <v>22.95</v>
      </c>
      <c r="H4">
        <v>0.45400000000000001</v>
      </c>
      <c r="I4">
        <v>6</v>
      </c>
      <c r="J4">
        <v>17.12</v>
      </c>
      <c r="K4">
        <v>1961.48</v>
      </c>
      <c r="L4">
        <v>12.81</v>
      </c>
      <c r="M4">
        <v>0.58599999999999997</v>
      </c>
      <c r="T4" t="s">
        <v>2</v>
      </c>
      <c r="U4">
        <f>_xlfn.T.TEST(C3:C10,G3:G10,1,1)</f>
        <v>0.1189788579932598</v>
      </c>
      <c r="V4">
        <f>_xlfn.T.TEST(C3:C10,L3:L10,1,1)</f>
        <v>7.0095359926850725E-4</v>
      </c>
      <c r="W4">
        <f>_xlfn.T.TEST(Both!C2:C9,Both!G2:G9,1,1)</f>
        <v>8.5016220609875751E-2</v>
      </c>
      <c r="X4">
        <f>_xlfn.T.TEST(Both!C2:C9,Both!L2:L9,1,1)</f>
        <v>1.0668402587537583E-2</v>
      </c>
    </row>
    <row r="5" spans="1:24" x14ac:dyDescent="0.2">
      <c r="A5" t="s">
        <v>5</v>
      </c>
      <c r="B5">
        <v>1909.64</v>
      </c>
      <c r="C5">
        <v>12.79</v>
      </c>
      <c r="D5">
        <v>0.63600000000000001</v>
      </c>
      <c r="E5">
        <v>7</v>
      </c>
      <c r="F5">
        <v>2059.33</v>
      </c>
      <c r="G5">
        <v>15.74</v>
      </c>
      <c r="H5">
        <v>0.50700000000000001</v>
      </c>
      <c r="I5">
        <v>6</v>
      </c>
      <c r="J5">
        <v>16.809999999999999</v>
      </c>
      <c r="K5">
        <v>1723.38</v>
      </c>
      <c r="L5">
        <v>10.89</v>
      </c>
      <c r="M5">
        <v>0.56399999999999995</v>
      </c>
      <c r="T5" t="s">
        <v>3</v>
      </c>
      <c r="U5">
        <f>_xlfn.T.TEST(D3:D10,H3:H10,1,1)</f>
        <v>0.46270364669886455</v>
      </c>
      <c r="V5">
        <f>_xlfn.T.TEST(D3:D10,M3:M10,1,1)</f>
        <v>8.0361597783983676E-2</v>
      </c>
      <c r="W5">
        <f>_xlfn.T.TEST(Both!D2:D9,Both!H2:H9,1,1)</f>
        <v>0.16587381467861873</v>
      </c>
      <c r="X5">
        <f>_xlfn.T.TEST(Both!D2:D9,Both!M2:M9,1,1)</f>
        <v>0.20783005971755669</v>
      </c>
    </row>
    <row r="6" spans="1:24" x14ac:dyDescent="0.2">
      <c r="A6" t="s">
        <v>6</v>
      </c>
      <c r="B6">
        <v>2174.9699999999998</v>
      </c>
      <c r="C6">
        <v>18.77</v>
      </c>
      <c r="D6">
        <v>0.54800000000000004</v>
      </c>
      <c r="E6">
        <v>7</v>
      </c>
      <c r="F6">
        <v>2544.9499999999998</v>
      </c>
      <c r="G6">
        <v>18.739999999999998</v>
      </c>
      <c r="H6">
        <v>0.44900000000000001</v>
      </c>
      <c r="I6">
        <v>12</v>
      </c>
      <c r="K6">
        <v>1723.38</v>
      </c>
      <c r="L6">
        <v>10.89</v>
      </c>
      <c r="M6">
        <v>0.56399999999999995</v>
      </c>
    </row>
    <row r="7" spans="1:24" x14ac:dyDescent="0.2">
      <c r="A7" t="s">
        <v>7</v>
      </c>
      <c r="B7">
        <v>2148.86</v>
      </c>
      <c r="C7">
        <v>16.86</v>
      </c>
      <c r="D7">
        <v>0.4</v>
      </c>
      <c r="E7">
        <v>7</v>
      </c>
      <c r="F7">
        <v>2400.58</v>
      </c>
      <c r="G7">
        <v>19.579999999999998</v>
      </c>
      <c r="H7">
        <v>0.377</v>
      </c>
      <c r="I7">
        <v>6</v>
      </c>
      <c r="K7">
        <v>2100.61</v>
      </c>
      <c r="L7">
        <v>13.78</v>
      </c>
      <c r="M7">
        <v>0.41099999999999998</v>
      </c>
    </row>
    <row r="8" spans="1:24" x14ac:dyDescent="0.2">
      <c r="A8" t="s">
        <v>8</v>
      </c>
      <c r="B8">
        <v>2192.7800000000002</v>
      </c>
      <c r="C8">
        <v>14.06</v>
      </c>
      <c r="D8">
        <v>0.52400000000000002</v>
      </c>
      <c r="E8">
        <v>25</v>
      </c>
      <c r="F8">
        <v>2681.14</v>
      </c>
      <c r="G8">
        <v>26.75</v>
      </c>
      <c r="H8">
        <v>0.36699999999999999</v>
      </c>
      <c r="I8">
        <v>6</v>
      </c>
      <c r="K8">
        <v>2086.59</v>
      </c>
      <c r="L8">
        <v>13.42</v>
      </c>
      <c r="M8">
        <v>0.4</v>
      </c>
    </row>
    <row r="9" spans="1:24" x14ac:dyDescent="0.2">
      <c r="A9" t="s">
        <v>9</v>
      </c>
      <c r="B9">
        <v>2486.08</v>
      </c>
      <c r="C9">
        <v>19.54</v>
      </c>
      <c r="D9">
        <v>0.21</v>
      </c>
      <c r="E9">
        <v>7</v>
      </c>
      <c r="F9">
        <v>2369.4</v>
      </c>
      <c r="G9">
        <v>15.96</v>
      </c>
      <c r="H9">
        <v>0.32400000000000001</v>
      </c>
      <c r="I9">
        <v>6</v>
      </c>
      <c r="J9" s="1">
        <v>0.14940000000000001</v>
      </c>
      <c r="K9">
        <v>1873.11</v>
      </c>
      <c r="L9">
        <v>11.63</v>
      </c>
      <c r="M9">
        <v>0.47799999999999998</v>
      </c>
    </row>
    <row r="10" spans="1:24" x14ac:dyDescent="0.2">
      <c r="A10" t="s">
        <v>10</v>
      </c>
      <c r="B10">
        <v>2532.29</v>
      </c>
      <c r="C10">
        <v>17.48</v>
      </c>
      <c r="D10">
        <v>0.23</v>
      </c>
      <c r="E10">
        <v>8</v>
      </c>
      <c r="F10">
        <v>2291.9499999999998</v>
      </c>
      <c r="G10">
        <v>19.79</v>
      </c>
      <c r="H10">
        <v>0.24</v>
      </c>
      <c r="I10">
        <v>6</v>
      </c>
      <c r="J10">
        <v>12.59</v>
      </c>
      <c r="K10">
        <v>1772.85</v>
      </c>
      <c r="L10">
        <v>11.23</v>
      </c>
      <c r="M10">
        <v>0.34899999999999998</v>
      </c>
    </row>
    <row r="11" spans="1:24" x14ac:dyDescent="0.2">
      <c r="A11" t="s">
        <v>22</v>
      </c>
      <c r="B11">
        <f>GEOMEAN(B3:B10)</f>
        <v>2267.8777535411018</v>
      </c>
      <c r="C11">
        <f t="shared" ref="C11:I11" si="0">GEOMEAN(C3:C10)</f>
        <v>17.103304578598372</v>
      </c>
      <c r="D11">
        <f t="shared" si="0"/>
        <v>0.38272596221607774</v>
      </c>
      <c r="E11">
        <f t="shared" si="0"/>
        <v>8.3454984241498824</v>
      </c>
      <c r="F11">
        <f t="shared" si="0"/>
        <v>2366.4762746154106</v>
      </c>
      <c r="G11">
        <f t="shared" si="0"/>
        <v>19.230300858116376</v>
      </c>
      <c r="H11">
        <f t="shared" si="0"/>
        <v>0.39444418171924378</v>
      </c>
      <c r="I11">
        <f>GEOMEAN(I3:I10)</f>
        <v>6.6703457940955424</v>
      </c>
      <c r="J11">
        <f t="shared" ref="J11" si="1">GEOMEAN(J3:J10)</f>
        <v>6.2522811968883572</v>
      </c>
      <c r="K11">
        <f t="shared" ref="K11" si="2">GEOMEAN(K3:K10)</f>
        <v>1880.9007819892536</v>
      </c>
      <c r="L11">
        <f t="shared" ref="L11" si="3">GEOMEAN(L3:L10)</f>
        <v>12.0468651595229</v>
      </c>
      <c r="M11">
        <f>GEOMEAN(M3:M10)</f>
        <v>0.48961581207514387</v>
      </c>
    </row>
    <row r="12" spans="1:24" x14ac:dyDescent="0.2">
      <c r="A12" t="s">
        <v>23</v>
      </c>
      <c r="B12">
        <f>B11-F11</f>
        <v>-98.598521074308792</v>
      </c>
      <c r="C12">
        <f>C11-G11</f>
        <v>-2.1269962795180035</v>
      </c>
      <c r="D12">
        <f>D11-H11</f>
        <v>-1.1718219503166039E-2</v>
      </c>
      <c r="E12">
        <f>E11-I11</f>
        <v>1.67515263005434</v>
      </c>
    </row>
    <row r="13" spans="1:24" x14ac:dyDescent="0.2">
      <c r="A13" t="s">
        <v>208</v>
      </c>
      <c r="B13">
        <f>STDEV(B3:B10)</f>
        <v>227.61621618338802</v>
      </c>
      <c r="C13">
        <f t="shared" ref="C13:M13" si="4">STDEV(C3:C10)</f>
        <v>2.621388672331622</v>
      </c>
      <c r="D13">
        <f t="shared" si="4"/>
        <v>0.15420302016682916</v>
      </c>
      <c r="E13">
        <f t="shared" si="4"/>
        <v>6.3231434316440156</v>
      </c>
      <c r="F13">
        <f t="shared" si="4"/>
        <v>183.9368990985767</v>
      </c>
      <c r="G13">
        <f t="shared" si="4"/>
        <v>3.7727744148987177</v>
      </c>
      <c r="H13">
        <f t="shared" si="4"/>
        <v>9.6832605931207849E-2</v>
      </c>
      <c r="I13">
        <f t="shared" si="4"/>
        <v>2.1001700611413079</v>
      </c>
      <c r="J13">
        <f t="shared" si="4"/>
        <v>7.387935724679795</v>
      </c>
      <c r="K13">
        <f t="shared" si="4"/>
        <v>150.87352323220935</v>
      </c>
      <c r="L13">
        <f t="shared" si="4"/>
        <v>1.1322890847431899</v>
      </c>
      <c r="M13">
        <f t="shared" si="4"/>
        <v>0.10563380140845043</v>
      </c>
    </row>
    <row r="14" spans="1:24" x14ac:dyDescent="0.2">
      <c r="A14" t="s">
        <v>19</v>
      </c>
      <c r="B14">
        <f t="shared" ref="B14:B17" si="5">STDEV(B4:B11)</f>
        <v>226.36878958601056</v>
      </c>
    </row>
    <row r="15" spans="1:24" x14ac:dyDescent="0.2">
      <c r="A15" t="s">
        <v>20</v>
      </c>
      <c r="B15">
        <f t="shared" si="5"/>
        <v>851.4650640565095</v>
      </c>
    </row>
    <row r="16" spans="1:24" x14ac:dyDescent="0.2">
      <c r="A16" t="s">
        <v>21</v>
      </c>
      <c r="B16">
        <f t="shared" si="5"/>
        <v>1048.2720792568668</v>
      </c>
    </row>
    <row r="17" spans="1:2" x14ac:dyDescent="0.2">
      <c r="A17" t="s">
        <v>12</v>
      </c>
      <c r="B17">
        <f t="shared" si="5"/>
        <v>1154.194542839047</v>
      </c>
    </row>
    <row r="96" spans="1:17" x14ac:dyDescent="0.2">
      <c r="A96" t="s">
        <v>24</v>
      </c>
      <c r="C96" t="s">
        <v>24</v>
      </c>
      <c r="F96" t="s">
        <v>24</v>
      </c>
      <c r="H96" t="s">
        <v>24</v>
      </c>
      <c r="J96" t="s">
        <v>24</v>
      </c>
      <c r="L96" t="s">
        <v>24</v>
      </c>
      <c r="M96" t="s">
        <v>24</v>
      </c>
      <c r="Q96" t="s">
        <v>24</v>
      </c>
    </row>
    <row r="97" spans="1:17" x14ac:dyDescent="0.2">
      <c r="A97" t="s">
        <v>25</v>
      </c>
      <c r="C97" t="s">
        <v>25</v>
      </c>
      <c r="F97" t="s">
        <v>25</v>
      </c>
      <c r="H97" t="s">
        <v>25</v>
      </c>
      <c r="J97" t="s">
        <v>25</v>
      </c>
      <c r="L97" t="s">
        <v>25</v>
      </c>
      <c r="M97" t="s">
        <v>25</v>
      </c>
      <c r="Q97" t="s">
        <v>25</v>
      </c>
    </row>
    <row r="98" spans="1:17" x14ac:dyDescent="0.2">
      <c r="A98" t="s">
        <v>26</v>
      </c>
      <c r="C98" t="s">
        <v>26</v>
      </c>
      <c r="F98" t="s">
        <v>26</v>
      </c>
      <c r="H98" t="s">
        <v>26</v>
      </c>
      <c r="J98" t="s">
        <v>26</v>
      </c>
      <c r="L98" t="s">
        <v>26</v>
      </c>
      <c r="M98" t="s">
        <v>26</v>
      </c>
      <c r="Q98" t="s">
        <v>26</v>
      </c>
    </row>
    <row r="99" spans="1:17" x14ac:dyDescent="0.2">
      <c r="A99" t="s">
        <v>27</v>
      </c>
      <c r="C99" t="s">
        <v>27</v>
      </c>
      <c r="F99" t="s">
        <v>27</v>
      </c>
      <c r="H99" t="s">
        <v>27</v>
      </c>
      <c r="J99" t="s">
        <v>27</v>
      </c>
      <c r="L99" t="s">
        <v>27</v>
      </c>
      <c r="M99" t="s">
        <v>27</v>
      </c>
      <c r="Q99" t="s">
        <v>27</v>
      </c>
    </row>
    <row r="100" spans="1:17" x14ac:dyDescent="0.2">
      <c r="A100" t="s">
        <v>28</v>
      </c>
      <c r="C100" t="s">
        <v>28</v>
      </c>
      <c r="F100" t="s">
        <v>28</v>
      </c>
      <c r="H100" t="s">
        <v>28</v>
      </c>
      <c r="J100" t="s">
        <v>28</v>
      </c>
      <c r="L100" t="s">
        <v>28</v>
      </c>
      <c r="M100" t="s">
        <v>28</v>
      </c>
      <c r="Q100" t="s">
        <v>28</v>
      </c>
    </row>
    <row r="101" spans="1:17" x14ac:dyDescent="0.2">
      <c r="A101" t="s">
        <v>29</v>
      </c>
      <c r="C101" t="s">
        <v>29</v>
      </c>
      <c r="F101" t="s">
        <v>29</v>
      </c>
      <c r="H101" t="s">
        <v>29</v>
      </c>
      <c r="J101" t="s">
        <v>29</v>
      </c>
      <c r="L101" t="s">
        <v>29</v>
      </c>
      <c r="M101" t="s">
        <v>29</v>
      </c>
      <c r="Q101" t="s">
        <v>29</v>
      </c>
    </row>
    <row r="102" spans="1:17" x14ac:dyDescent="0.2">
      <c r="A102" t="s">
        <v>30</v>
      </c>
      <c r="C102" t="s">
        <v>30</v>
      </c>
      <c r="F102" t="s">
        <v>30</v>
      </c>
      <c r="H102" t="s">
        <v>30</v>
      </c>
      <c r="J102" t="s">
        <v>30</v>
      </c>
      <c r="L102" t="s">
        <v>30</v>
      </c>
      <c r="M102" t="s">
        <v>30</v>
      </c>
      <c r="Q102" t="s">
        <v>30</v>
      </c>
    </row>
    <row r="103" spans="1:17" x14ac:dyDescent="0.2">
      <c r="A103" t="s">
        <v>31</v>
      </c>
      <c r="C103" t="s">
        <v>31</v>
      </c>
      <c r="F103" t="s">
        <v>31</v>
      </c>
      <c r="H103" t="s">
        <v>31</v>
      </c>
      <c r="J103" t="s">
        <v>31</v>
      </c>
      <c r="L103" t="s">
        <v>31</v>
      </c>
      <c r="M103" t="s">
        <v>31</v>
      </c>
      <c r="Q103" t="s">
        <v>31</v>
      </c>
    </row>
    <row r="104" spans="1:17" x14ac:dyDescent="0.2">
      <c r="A104" t="s">
        <v>32</v>
      </c>
      <c r="C104" t="s">
        <v>32</v>
      </c>
      <c r="F104" t="s">
        <v>32</v>
      </c>
      <c r="H104" t="s">
        <v>32</v>
      </c>
      <c r="J104" t="s">
        <v>32</v>
      </c>
      <c r="L104" t="s">
        <v>32</v>
      </c>
      <c r="M104" t="s">
        <v>32</v>
      </c>
      <c r="Q104" t="s">
        <v>32</v>
      </c>
    </row>
    <row r="105" spans="1:17" x14ac:dyDescent="0.2">
      <c r="A105" t="s">
        <v>41</v>
      </c>
      <c r="C105" t="s">
        <v>41</v>
      </c>
      <c r="F105" t="s">
        <v>36</v>
      </c>
      <c r="H105" t="s">
        <v>36</v>
      </c>
      <c r="J105" t="s">
        <v>33</v>
      </c>
      <c r="L105" t="s">
        <v>36</v>
      </c>
      <c r="M105" t="s">
        <v>36</v>
      </c>
      <c r="Q105" t="s">
        <v>33</v>
      </c>
    </row>
    <row r="106" spans="1:17" x14ac:dyDescent="0.2">
      <c r="A106" t="s">
        <v>36</v>
      </c>
      <c r="C106" t="s">
        <v>36</v>
      </c>
      <c r="F106" t="s">
        <v>41</v>
      </c>
      <c r="H106" t="s">
        <v>33</v>
      </c>
      <c r="J106" t="s">
        <v>34</v>
      </c>
      <c r="L106" t="s">
        <v>33</v>
      </c>
      <c r="M106" t="s">
        <v>33</v>
      </c>
      <c r="Q106" t="s">
        <v>34</v>
      </c>
    </row>
    <row r="107" spans="1:17" x14ac:dyDescent="0.2">
      <c r="A107" t="s">
        <v>34</v>
      </c>
      <c r="C107" t="s">
        <v>34</v>
      </c>
      <c r="F107" t="s">
        <v>34</v>
      </c>
      <c r="H107" t="s">
        <v>34</v>
      </c>
      <c r="J107" t="s">
        <v>36</v>
      </c>
      <c r="L107" t="s">
        <v>34</v>
      </c>
      <c r="M107" t="s">
        <v>34</v>
      </c>
      <c r="Q107" t="s">
        <v>35</v>
      </c>
    </row>
    <row r="108" spans="1:17" x14ac:dyDescent="0.2">
      <c r="A108" t="s">
        <v>33</v>
      </c>
      <c r="C108" t="s">
        <v>33</v>
      </c>
      <c r="F108" t="s">
        <v>33</v>
      </c>
      <c r="H108" t="s">
        <v>41</v>
      </c>
      <c r="J108" t="s">
        <v>35</v>
      </c>
      <c r="L108" t="s">
        <v>35</v>
      </c>
      <c r="M108" t="s">
        <v>35</v>
      </c>
      <c r="Q108" t="s">
        <v>37</v>
      </c>
    </row>
    <row r="109" spans="1:17" x14ac:dyDescent="0.2">
      <c r="A109" t="s">
        <v>43</v>
      </c>
      <c r="C109" t="s">
        <v>45</v>
      </c>
      <c r="F109" t="s">
        <v>35</v>
      </c>
      <c r="H109" t="s">
        <v>35</v>
      </c>
      <c r="J109" t="s">
        <v>41</v>
      </c>
      <c r="L109" t="s">
        <v>37</v>
      </c>
      <c r="M109" t="s">
        <v>37</v>
      </c>
      <c r="Q109" t="s">
        <v>51</v>
      </c>
    </row>
    <row r="110" spans="1:17" x14ac:dyDescent="0.2">
      <c r="A110" t="s">
        <v>44</v>
      </c>
      <c r="C110" t="s">
        <v>37</v>
      </c>
      <c r="F110" t="s">
        <v>45</v>
      </c>
      <c r="H110" t="s">
        <v>45</v>
      </c>
      <c r="J110" t="s">
        <v>37</v>
      </c>
      <c r="L110" t="s">
        <v>44</v>
      </c>
      <c r="M110" t="s">
        <v>51</v>
      </c>
      <c r="Q110" t="s">
        <v>44</v>
      </c>
    </row>
    <row r="111" spans="1:17" x14ac:dyDescent="0.2">
      <c r="A111" t="s">
        <v>37</v>
      </c>
      <c r="C111" t="s">
        <v>35</v>
      </c>
      <c r="F111" t="s">
        <v>37</v>
      </c>
      <c r="H111" t="s">
        <v>37</v>
      </c>
      <c r="J111" t="s">
        <v>44</v>
      </c>
      <c r="L111" t="s">
        <v>51</v>
      </c>
      <c r="M111" t="s">
        <v>44</v>
      </c>
      <c r="Q111" t="s">
        <v>40</v>
      </c>
    </row>
    <row r="112" spans="1:17" x14ac:dyDescent="0.2">
      <c r="A112" t="s">
        <v>50</v>
      </c>
      <c r="C112" t="s">
        <v>44</v>
      </c>
      <c r="F112" t="s">
        <v>44</v>
      </c>
      <c r="H112" t="s">
        <v>44</v>
      </c>
      <c r="J112" t="s">
        <v>45</v>
      </c>
      <c r="L112" t="s">
        <v>52</v>
      </c>
      <c r="M112" t="s">
        <v>40</v>
      </c>
      <c r="Q112" t="s">
        <v>53</v>
      </c>
    </row>
    <row r="113" spans="1:17" x14ac:dyDescent="0.2">
      <c r="A113" t="s">
        <v>35</v>
      </c>
      <c r="L113" t="s">
        <v>41</v>
      </c>
      <c r="M113" t="s">
        <v>41</v>
      </c>
      <c r="Q113" t="s">
        <v>41</v>
      </c>
    </row>
    <row r="114" spans="1:17" x14ac:dyDescent="0.2">
      <c r="Q114" t="s">
        <v>36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AD43-7787-164A-AC63-516B1B901270}">
  <dimension ref="A1:M28"/>
  <sheetViews>
    <sheetView workbookViewId="0">
      <selection activeCell="K2" sqref="K2"/>
    </sheetView>
  </sheetViews>
  <sheetFormatPr baseColWidth="10" defaultRowHeight="16" x14ac:dyDescent="0.2"/>
  <cols>
    <col min="1" max="2" width="12.1640625" bestFit="1" customWidth="1"/>
  </cols>
  <sheetData>
    <row r="1" spans="1:13" x14ac:dyDescent="0.2">
      <c r="A1" s="2"/>
      <c r="B1" s="2" t="s">
        <v>1</v>
      </c>
      <c r="C1" s="2" t="s">
        <v>2</v>
      </c>
      <c r="D1" s="2" t="s">
        <v>3</v>
      </c>
      <c r="E1" s="2" t="s">
        <v>12</v>
      </c>
      <c r="F1" s="2" t="s">
        <v>16</v>
      </c>
      <c r="G1" s="2" t="s">
        <v>15</v>
      </c>
      <c r="H1" s="2" t="s">
        <v>17</v>
      </c>
      <c r="I1" s="2" t="s">
        <v>18</v>
      </c>
      <c r="J1" s="2" t="s">
        <v>13</v>
      </c>
      <c r="K1" s="2" t="s">
        <v>81</v>
      </c>
      <c r="L1" s="2" t="s">
        <v>82</v>
      </c>
      <c r="M1" s="2" t="s">
        <v>83</v>
      </c>
    </row>
    <row r="2" spans="1:13" x14ac:dyDescent="0.2">
      <c r="A2" s="2" t="s">
        <v>59</v>
      </c>
      <c r="B2">
        <v>2077.6999999999998</v>
      </c>
      <c r="C2">
        <v>15.4</v>
      </c>
      <c r="D2">
        <v>0.56999999999999995</v>
      </c>
      <c r="E2">
        <v>7</v>
      </c>
      <c r="F2" s="2">
        <v>2647.09</v>
      </c>
      <c r="G2" s="2">
        <v>21.45</v>
      </c>
      <c r="H2" s="2">
        <v>0.44500000000000001</v>
      </c>
      <c r="I2" s="2">
        <v>6</v>
      </c>
      <c r="J2" s="2">
        <v>15.98</v>
      </c>
      <c r="K2" s="2">
        <v>2001.7</v>
      </c>
      <c r="L2" s="2">
        <v>14.2</v>
      </c>
      <c r="M2" s="2">
        <v>0.57899999999999996</v>
      </c>
    </row>
    <row r="3" spans="1:13" x14ac:dyDescent="0.2">
      <c r="A3" s="2" t="s">
        <v>60</v>
      </c>
      <c r="B3" s="2">
        <v>1885.6</v>
      </c>
      <c r="C3" s="2">
        <v>12.64</v>
      </c>
      <c r="D3" s="2">
        <v>0.55400000000000005</v>
      </c>
      <c r="E3" s="2">
        <v>7</v>
      </c>
      <c r="F3" s="2">
        <v>2006.7</v>
      </c>
      <c r="G3" s="2">
        <v>12.47</v>
      </c>
      <c r="H3" s="2">
        <v>0.64100000000000001</v>
      </c>
      <c r="I3" s="2">
        <v>18</v>
      </c>
      <c r="J3" s="2">
        <v>17.72</v>
      </c>
      <c r="K3" s="2">
        <v>1841.61</v>
      </c>
      <c r="L3" s="2">
        <v>11.75</v>
      </c>
      <c r="M3" s="2">
        <v>0.64200000000000002</v>
      </c>
    </row>
    <row r="4" spans="1:13" x14ac:dyDescent="0.2">
      <c r="A4" s="2" t="s">
        <v>61</v>
      </c>
      <c r="B4" s="2">
        <v>2043.19</v>
      </c>
      <c r="C4" s="2">
        <v>20.6</v>
      </c>
      <c r="D4" s="2">
        <v>0.70899999999999996</v>
      </c>
      <c r="E4" s="2">
        <v>9</v>
      </c>
      <c r="F4" s="2">
        <v>2348.5500000000002</v>
      </c>
      <c r="G4" s="2">
        <v>19.89</v>
      </c>
      <c r="H4" s="2">
        <v>0.69499999999999995</v>
      </c>
      <c r="I4" s="2">
        <v>9</v>
      </c>
      <c r="J4" s="2">
        <v>15.47</v>
      </c>
      <c r="K4" s="2">
        <v>1673.53</v>
      </c>
      <c r="L4" s="2">
        <v>10.33</v>
      </c>
      <c r="M4" s="2">
        <v>0.69499999999999995</v>
      </c>
    </row>
    <row r="5" spans="1:13" x14ac:dyDescent="0.2">
      <c r="A5" s="2" t="s">
        <v>62</v>
      </c>
      <c r="B5" s="2">
        <v>2207.33</v>
      </c>
      <c r="C5" s="2">
        <v>19.72</v>
      </c>
      <c r="D5" s="2">
        <v>0.621</v>
      </c>
      <c r="E5" s="2">
        <v>6</v>
      </c>
      <c r="F5" s="2">
        <v>2301.46</v>
      </c>
      <c r="G5" s="2">
        <v>18.03</v>
      </c>
      <c r="H5" s="2">
        <v>0.56299999999999994</v>
      </c>
      <c r="I5" s="2">
        <v>10</v>
      </c>
      <c r="J5" s="2">
        <v>13.28</v>
      </c>
      <c r="K5" s="2">
        <v>1728.78</v>
      </c>
      <c r="L5" s="2">
        <v>10.89</v>
      </c>
      <c r="M5" s="2">
        <v>0.57199999999999995</v>
      </c>
    </row>
    <row r="6" spans="1:13" x14ac:dyDescent="0.2">
      <c r="A6" s="2" t="s">
        <v>63</v>
      </c>
      <c r="B6" s="2">
        <v>2613.62</v>
      </c>
      <c r="C6" s="2">
        <v>15.95</v>
      </c>
      <c r="D6" s="2">
        <v>0.47099999999999997</v>
      </c>
      <c r="E6" s="2">
        <v>9</v>
      </c>
      <c r="F6" s="2">
        <v>1904.36</v>
      </c>
      <c r="G6" s="2">
        <v>14.58</v>
      </c>
      <c r="H6" s="2">
        <v>0.55500000000000005</v>
      </c>
      <c r="I6" s="2">
        <v>6</v>
      </c>
      <c r="J6" s="2">
        <v>15.55</v>
      </c>
      <c r="K6" s="2">
        <v>1912.17</v>
      </c>
      <c r="L6" s="2">
        <v>11.87</v>
      </c>
      <c r="M6" s="2">
        <v>0.56399999999999995</v>
      </c>
    </row>
    <row r="7" spans="1:13" x14ac:dyDescent="0.2">
      <c r="A7" s="2" t="s">
        <v>64</v>
      </c>
      <c r="B7" s="2">
        <v>2355.41</v>
      </c>
      <c r="C7" s="2">
        <v>17.46</v>
      </c>
      <c r="D7" s="2">
        <v>0.52400000000000002</v>
      </c>
      <c r="E7" s="2">
        <v>8</v>
      </c>
      <c r="F7" s="2">
        <v>3040.63</v>
      </c>
      <c r="G7" s="2">
        <v>26.75</v>
      </c>
      <c r="H7" s="2">
        <v>0.36699999999999999</v>
      </c>
      <c r="I7" s="2">
        <v>6</v>
      </c>
      <c r="J7" s="2">
        <v>14.37</v>
      </c>
      <c r="K7" s="2">
        <v>1905.51</v>
      </c>
      <c r="L7" s="2">
        <v>11.91</v>
      </c>
      <c r="M7" s="2">
        <v>0.54400000000000004</v>
      </c>
    </row>
    <row r="8" spans="1:13" x14ac:dyDescent="0.2">
      <c r="A8" s="2" t="s">
        <v>65</v>
      </c>
      <c r="B8" s="2">
        <v>1702.52</v>
      </c>
      <c r="C8" s="2">
        <v>9.9</v>
      </c>
      <c r="D8" s="2">
        <v>0.60599999999999998</v>
      </c>
      <c r="E8" s="2">
        <v>7</v>
      </c>
      <c r="F8" s="2">
        <v>1983.63</v>
      </c>
      <c r="G8" s="2">
        <v>14.54</v>
      </c>
      <c r="H8" s="2">
        <v>0.45</v>
      </c>
      <c r="I8" s="2">
        <v>10</v>
      </c>
      <c r="J8" s="3">
        <v>0.14249999999999999</v>
      </c>
      <c r="K8" s="2">
        <v>1887.02</v>
      </c>
      <c r="L8" s="2">
        <v>11.69</v>
      </c>
      <c r="M8" s="2">
        <v>0.45</v>
      </c>
    </row>
    <row r="9" spans="1:13" x14ac:dyDescent="0.2">
      <c r="A9" s="2" t="s">
        <v>66</v>
      </c>
      <c r="B9" s="2">
        <v>2651.86</v>
      </c>
      <c r="C9" s="2">
        <v>17.149999999999999</v>
      </c>
      <c r="D9" s="2">
        <v>0.219</v>
      </c>
      <c r="E9" s="2">
        <v>7</v>
      </c>
      <c r="F9" s="2">
        <v>3007.05</v>
      </c>
      <c r="G9" s="2">
        <v>18.54</v>
      </c>
      <c r="H9" s="2">
        <v>0.25700000000000001</v>
      </c>
      <c r="I9" s="2">
        <v>10</v>
      </c>
      <c r="J9" s="3">
        <v>0.14249999999999999</v>
      </c>
      <c r="K9">
        <v>1847.41</v>
      </c>
      <c r="L9">
        <v>12.09</v>
      </c>
      <c r="M9">
        <v>0.64600000000000002</v>
      </c>
    </row>
    <row r="10" spans="1:13" x14ac:dyDescent="0.2">
      <c r="A10" s="2" t="s">
        <v>67</v>
      </c>
      <c r="B10" s="2">
        <v>2216.79</v>
      </c>
      <c r="C10" s="2">
        <v>18.760000000000002</v>
      </c>
      <c r="D10" s="2">
        <v>0.307</v>
      </c>
      <c r="E10" s="2">
        <v>7</v>
      </c>
      <c r="F10" s="2">
        <v>2330.79</v>
      </c>
      <c r="G10" s="2">
        <v>16.7</v>
      </c>
      <c r="H10" s="2">
        <v>0.52700000000000002</v>
      </c>
      <c r="I10" s="2">
        <v>7</v>
      </c>
      <c r="J10" s="2">
        <v>17.649999999999999</v>
      </c>
      <c r="K10">
        <v>1961.48</v>
      </c>
      <c r="L10">
        <v>12.81</v>
      </c>
      <c r="M10">
        <v>0.58599999999999997</v>
      </c>
    </row>
    <row r="11" spans="1:13" x14ac:dyDescent="0.2">
      <c r="A11" s="2" t="s">
        <v>68</v>
      </c>
      <c r="B11" s="2">
        <v>2562.1</v>
      </c>
      <c r="C11" s="2">
        <v>20.079999999999998</v>
      </c>
      <c r="D11" s="2">
        <v>0.42499999999999999</v>
      </c>
      <c r="E11" s="2">
        <v>7</v>
      </c>
      <c r="F11" s="2">
        <v>2303.7199999999998</v>
      </c>
      <c r="G11" s="2">
        <v>22.95</v>
      </c>
      <c r="H11" s="2">
        <v>0.45400000000000001</v>
      </c>
      <c r="I11" s="2">
        <v>6</v>
      </c>
      <c r="J11" s="2">
        <v>17.12</v>
      </c>
      <c r="K11" s="2">
        <v>1900.48694444444</v>
      </c>
      <c r="L11" s="2">
        <v>11.8822222222222</v>
      </c>
      <c r="M11" s="2">
        <v>0.54661111111111105</v>
      </c>
    </row>
    <row r="12" spans="1:13" x14ac:dyDescent="0.2">
      <c r="A12" s="2" t="s">
        <v>69</v>
      </c>
      <c r="B12" s="2">
        <v>1909.64</v>
      </c>
      <c r="C12" s="2">
        <v>12.79</v>
      </c>
      <c r="D12" s="2">
        <v>0.63600000000000001</v>
      </c>
      <c r="E12" s="2">
        <v>7</v>
      </c>
      <c r="F12" s="2">
        <v>2059.33</v>
      </c>
      <c r="G12" s="2">
        <v>15.74</v>
      </c>
      <c r="H12" s="2">
        <v>0.50700000000000001</v>
      </c>
      <c r="I12" s="2">
        <v>6</v>
      </c>
      <c r="J12" s="2">
        <v>16.809999999999999</v>
      </c>
      <c r="K12">
        <v>1723.38</v>
      </c>
      <c r="L12">
        <v>10.89</v>
      </c>
      <c r="M12">
        <v>0.56399999999999995</v>
      </c>
    </row>
    <row r="13" spans="1:13" x14ac:dyDescent="0.2">
      <c r="A13" s="2" t="s">
        <v>70</v>
      </c>
      <c r="B13" s="2">
        <v>2174.9699999999998</v>
      </c>
      <c r="C13" s="2">
        <v>18.77</v>
      </c>
      <c r="D13" s="2">
        <v>0.54800000000000004</v>
      </c>
      <c r="E13" s="2">
        <v>7</v>
      </c>
      <c r="F13" s="2">
        <v>2544.9499999999998</v>
      </c>
      <c r="G13" s="2">
        <v>18.739999999999998</v>
      </c>
      <c r="H13" s="2">
        <v>0.44900000000000001</v>
      </c>
      <c r="I13" s="2">
        <v>12</v>
      </c>
      <c r="J13" s="2">
        <v>12.59</v>
      </c>
      <c r="K13">
        <v>2100.61</v>
      </c>
      <c r="L13">
        <v>13.78</v>
      </c>
      <c r="M13">
        <v>0.41099999999999998</v>
      </c>
    </row>
    <row r="14" spans="1:13" x14ac:dyDescent="0.2">
      <c r="A14" s="2" t="s">
        <v>71</v>
      </c>
      <c r="B14" s="2">
        <v>2148.86</v>
      </c>
      <c r="C14" s="2">
        <v>16.86</v>
      </c>
      <c r="D14" s="2">
        <v>0.4</v>
      </c>
      <c r="E14" s="2">
        <v>7</v>
      </c>
      <c r="F14" s="2">
        <v>2400.58</v>
      </c>
      <c r="G14" s="2">
        <v>19.579999999999998</v>
      </c>
      <c r="H14" s="2">
        <v>0.377</v>
      </c>
      <c r="I14" s="2">
        <v>6</v>
      </c>
      <c r="J14" s="2">
        <v>14.94</v>
      </c>
      <c r="K14">
        <v>2086.59</v>
      </c>
      <c r="L14">
        <v>13.42</v>
      </c>
      <c r="M14">
        <v>0.4</v>
      </c>
    </row>
    <row r="15" spans="1:13" x14ac:dyDescent="0.2">
      <c r="A15" s="2" t="s">
        <v>72</v>
      </c>
      <c r="B15" s="2">
        <v>2192.7800000000002</v>
      </c>
      <c r="C15" s="2">
        <v>14.06</v>
      </c>
      <c r="D15" s="2">
        <v>0.52400000000000002</v>
      </c>
      <c r="E15" s="2">
        <v>25</v>
      </c>
      <c r="F15" s="2">
        <v>2681.14</v>
      </c>
      <c r="G15" s="2">
        <v>26.75</v>
      </c>
      <c r="H15" s="2">
        <v>0.36699999999999999</v>
      </c>
      <c r="I15" s="2">
        <v>6</v>
      </c>
      <c r="J15" s="2">
        <v>15.96</v>
      </c>
      <c r="K15">
        <v>1873.11</v>
      </c>
      <c r="L15">
        <v>11.63</v>
      </c>
      <c r="M15">
        <v>0.47799999999999998</v>
      </c>
    </row>
    <row r="16" spans="1:13" x14ac:dyDescent="0.2">
      <c r="A16" s="2" t="s">
        <v>73</v>
      </c>
      <c r="B16" s="2">
        <v>2486.08</v>
      </c>
      <c r="C16" s="2">
        <v>19.54</v>
      </c>
      <c r="D16" s="2">
        <v>0.21</v>
      </c>
      <c r="E16" s="2">
        <v>7</v>
      </c>
      <c r="F16" s="2">
        <v>2369.4</v>
      </c>
      <c r="G16" s="2">
        <v>15.96</v>
      </c>
      <c r="H16" s="2">
        <v>0.32400000000000001</v>
      </c>
      <c r="I16" s="2">
        <v>6</v>
      </c>
      <c r="J16" s="3">
        <v>14.94</v>
      </c>
      <c r="K16">
        <v>1772.85</v>
      </c>
      <c r="L16">
        <v>11.23</v>
      </c>
      <c r="M16">
        <v>0.34899999999999998</v>
      </c>
    </row>
    <row r="17" spans="1:13" x14ac:dyDescent="0.2">
      <c r="A17" s="2" t="s">
        <v>74</v>
      </c>
      <c r="B17" s="2">
        <v>2532.29</v>
      </c>
      <c r="C17" s="2">
        <v>17.48</v>
      </c>
      <c r="D17" s="2">
        <v>0.23</v>
      </c>
      <c r="E17" s="2">
        <v>8</v>
      </c>
      <c r="F17" s="2">
        <v>2291.9499999999998</v>
      </c>
      <c r="G17" s="2">
        <v>19.79</v>
      </c>
      <c r="H17" s="2">
        <v>0.24</v>
      </c>
      <c r="I17" s="2">
        <v>6</v>
      </c>
      <c r="J17" s="2">
        <v>12.59</v>
      </c>
      <c r="K17">
        <v>1872.74</v>
      </c>
      <c r="L17">
        <v>11.749000000000001</v>
      </c>
      <c r="M17">
        <v>0.33150000000000002</v>
      </c>
    </row>
    <row r="18" spans="1:13" x14ac:dyDescent="0.2">
      <c r="A18" s="2" t="s">
        <v>55</v>
      </c>
      <c r="B18">
        <f t="shared" ref="B18:E18" si="0">GEOMEAN(B2:B17)</f>
        <v>2218.2338749474225</v>
      </c>
      <c r="C18">
        <f t="shared" si="0"/>
        <v>16.399728209777109</v>
      </c>
      <c r="D18">
        <f t="shared" si="0"/>
        <v>0.44166544634607968</v>
      </c>
      <c r="E18">
        <f t="shared" si="0"/>
        <v>7.8769581984190102</v>
      </c>
      <c r="F18">
        <f>GEOMEAN(F2:F17)</f>
        <v>2367.6859600971134</v>
      </c>
      <c r="G18">
        <f t="shared" ref="G18:M18" si="1">GEOMEAN(G2:G17)</f>
        <v>18.502185085146156</v>
      </c>
      <c r="H18">
        <f t="shared" si="1"/>
        <v>0.43324271867954794</v>
      </c>
      <c r="I18">
        <f t="shared" si="1"/>
        <v>7.6484286939459789</v>
      </c>
      <c r="J18">
        <f t="shared" si="1"/>
        <v>8.5103362271735339</v>
      </c>
      <c r="K18">
        <f t="shared" si="1"/>
        <v>1876.9308996737491</v>
      </c>
      <c r="L18">
        <f t="shared" si="1"/>
        <v>11.964812736982088</v>
      </c>
      <c r="M18">
        <f t="shared" si="1"/>
        <v>0.51104978110058985</v>
      </c>
    </row>
    <row r="20" spans="1:13" x14ac:dyDescent="0.2">
      <c r="A20" s="2" t="s">
        <v>54</v>
      </c>
      <c r="B20">
        <f>_xlfn.T.TEST(B2:B17,F2:F17,1,1)</f>
        <v>5.0236277587229601E-2</v>
      </c>
    </row>
    <row r="21" spans="1:13" x14ac:dyDescent="0.2">
      <c r="A21" s="2" t="s">
        <v>56</v>
      </c>
      <c r="B21">
        <f>_xlfn.T.TEST(C2:C17,G2:G17,1,1)</f>
        <v>2.9845998994220763E-2</v>
      </c>
    </row>
    <row r="22" spans="1:13" x14ac:dyDescent="0.2">
      <c r="A22" s="2" t="s">
        <v>57</v>
      </c>
      <c r="B22">
        <f>_xlfn.T.TEST(D2:D17,H2:H17,1,1)</f>
        <v>0.23414763698872271</v>
      </c>
    </row>
    <row r="23" spans="1:13" x14ac:dyDescent="0.2">
      <c r="A23" s="2" t="s">
        <v>58</v>
      </c>
      <c r="B23">
        <f>_xlfn.T.TEST(E2:E17,I2:I17,1,1)</f>
        <v>0.42042599317615903</v>
      </c>
    </row>
    <row r="25" spans="1:13" x14ac:dyDescent="0.2">
      <c r="A25" s="2" t="s">
        <v>54</v>
      </c>
      <c r="B25">
        <f>_xlfn.T.TEST(B2:B17,K2:K17,1,1)</f>
        <v>1.2662941966718193E-4</v>
      </c>
    </row>
    <row r="26" spans="1:13" x14ac:dyDescent="0.2">
      <c r="A26" s="2" t="s">
        <v>56</v>
      </c>
      <c r="B26">
        <f>_xlfn.T.TEST(C2:C17,L2:L17,1,1)</f>
        <v>1.9894105382353183E-5</v>
      </c>
    </row>
    <row r="27" spans="1:13" x14ac:dyDescent="0.2">
      <c r="A27" s="2" t="s">
        <v>57</v>
      </c>
      <c r="B27">
        <f>_xlfn.T.TEST(D2:D17,L2:L17,1,1)</f>
        <v>2.9974544039057123E-17</v>
      </c>
    </row>
    <row r="28" spans="1:13" x14ac:dyDescent="0.2">
      <c r="A2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D69D-ED8B-9A49-BC1C-3AC300739648}">
  <dimension ref="A1:Q50"/>
  <sheetViews>
    <sheetView tabSelected="1" workbookViewId="0">
      <selection activeCell="B20" sqref="B20"/>
    </sheetView>
  </sheetViews>
  <sheetFormatPr baseColWidth="10" defaultRowHeight="16" x14ac:dyDescent="0.2"/>
  <cols>
    <col min="2" max="2" width="12.1640625" bestFit="1" customWidth="1"/>
  </cols>
  <sheetData>
    <row r="1" spans="1:13" x14ac:dyDescent="0.2">
      <c r="B1" s="2" t="s">
        <v>1</v>
      </c>
      <c r="C1" s="2" t="s">
        <v>2</v>
      </c>
      <c r="D1" s="2" t="s">
        <v>3</v>
      </c>
      <c r="E1" s="2" t="s">
        <v>12</v>
      </c>
      <c r="F1" s="2" t="s">
        <v>16</v>
      </c>
      <c r="G1" s="2" t="s">
        <v>15</v>
      </c>
      <c r="H1" s="2" t="s">
        <v>17</v>
      </c>
      <c r="I1" s="2" t="s">
        <v>18</v>
      </c>
      <c r="J1" s="2" t="s">
        <v>13</v>
      </c>
      <c r="K1" s="2" t="s">
        <v>81</v>
      </c>
      <c r="L1" s="2" t="s">
        <v>82</v>
      </c>
      <c r="M1" s="2" t="s">
        <v>83</v>
      </c>
    </row>
    <row r="2" spans="1:13" x14ac:dyDescent="0.2">
      <c r="A2" t="s">
        <v>86</v>
      </c>
      <c r="B2">
        <v>1990.54</v>
      </c>
      <c r="C2" s="4">
        <v>12.61</v>
      </c>
      <c r="D2" s="4">
        <v>9.6000000000000002E-2</v>
      </c>
      <c r="E2">
        <v>4</v>
      </c>
      <c r="F2" s="4">
        <v>2002.19</v>
      </c>
      <c r="G2" s="4">
        <v>16.89</v>
      </c>
      <c r="H2" s="4">
        <v>-0.249</v>
      </c>
      <c r="I2">
        <v>4</v>
      </c>
      <c r="J2">
        <v>13.18</v>
      </c>
      <c r="K2" s="4">
        <v>1733.13</v>
      </c>
      <c r="L2" s="4">
        <v>11.89</v>
      </c>
      <c r="M2" s="4">
        <v>0.29299999999999998</v>
      </c>
    </row>
    <row r="3" spans="1:13" x14ac:dyDescent="0.2">
      <c r="A3" t="s">
        <v>87</v>
      </c>
      <c r="B3">
        <v>2451.5100000000002</v>
      </c>
      <c r="C3">
        <v>21.88</v>
      </c>
      <c r="D3">
        <v>2.5000000000000001E-2</v>
      </c>
      <c r="E3">
        <v>3</v>
      </c>
      <c r="F3" s="4">
        <v>2655.76</v>
      </c>
      <c r="G3">
        <v>23.39</v>
      </c>
      <c r="H3">
        <v>-0.14099999999999999</v>
      </c>
      <c r="I3">
        <v>3</v>
      </c>
      <c r="J3" s="4">
        <v>14.53</v>
      </c>
      <c r="K3" s="4">
        <v>1903.48</v>
      </c>
      <c r="L3">
        <v>13.95</v>
      </c>
      <c r="M3">
        <v>0.14299999999999999</v>
      </c>
    </row>
    <row r="4" spans="1:13" x14ac:dyDescent="0.2">
      <c r="A4" t="s">
        <v>88</v>
      </c>
      <c r="B4">
        <v>1894.26</v>
      </c>
      <c r="C4">
        <v>16.149999999999999</v>
      </c>
      <c r="D4" s="4">
        <v>0.30099999999999999</v>
      </c>
      <c r="E4">
        <v>3</v>
      </c>
      <c r="F4" s="4">
        <v>1867.89</v>
      </c>
      <c r="G4" s="4">
        <v>12.06</v>
      </c>
      <c r="H4" s="4">
        <v>0.219</v>
      </c>
      <c r="I4">
        <v>3</v>
      </c>
      <c r="J4" s="4">
        <v>15.76</v>
      </c>
      <c r="K4" s="4">
        <v>1871.06</v>
      </c>
      <c r="L4" s="4">
        <v>11.77</v>
      </c>
      <c r="M4" s="4">
        <v>0.3</v>
      </c>
    </row>
    <row r="5" spans="1:13" x14ac:dyDescent="0.2">
      <c r="A5" t="s">
        <v>89</v>
      </c>
      <c r="B5" s="4">
        <v>3466.72</v>
      </c>
      <c r="C5">
        <v>28.12</v>
      </c>
      <c r="D5" s="4">
        <v>0.27700000000000002</v>
      </c>
      <c r="E5">
        <v>3</v>
      </c>
      <c r="F5" s="4">
        <v>2315.73</v>
      </c>
      <c r="G5">
        <v>22.65</v>
      </c>
      <c r="H5" s="4">
        <v>0.24399999999999999</v>
      </c>
      <c r="I5">
        <v>3</v>
      </c>
      <c r="J5" s="4">
        <v>11.57</v>
      </c>
      <c r="K5" s="4">
        <v>1810.98</v>
      </c>
      <c r="L5">
        <v>11.19</v>
      </c>
      <c r="M5">
        <v>0.25</v>
      </c>
    </row>
    <row r="6" spans="1:13" x14ac:dyDescent="0.2">
      <c r="A6" t="s">
        <v>86</v>
      </c>
      <c r="B6" s="4">
        <v>1948.45</v>
      </c>
      <c r="C6" s="4">
        <v>12.87</v>
      </c>
      <c r="D6" s="4">
        <v>-2.1999999999999999E-2</v>
      </c>
      <c r="E6">
        <v>6</v>
      </c>
      <c r="F6" s="4">
        <v>2839.04</v>
      </c>
      <c r="G6" s="4">
        <v>21.33</v>
      </c>
      <c r="H6" s="4">
        <v>0.13800000000000001</v>
      </c>
      <c r="I6">
        <v>3</v>
      </c>
      <c r="J6">
        <v>13.18</v>
      </c>
      <c r="K6" s="4">
        <v>1707.07</v>
      </c>
      <c r="L6" s="4">
        <v>11.49</v>
      </c>
      <c r="M6" s="4">
        <v>0.33600000000000002</v>
      </c>
    </row>
    <row r="7" spans="1:13" x14ac:dyDescent="0.2">
      <c r="A7" t="s">
        <v>87</v>
      </c>
      <c r="B7" s="4">
        <v>2428.6</v>
      </c>
      <c r="C7">
        <v>21.24</v>
      </c>
      <c r="D7" s="4">
        <v>0.04</v>
      </c>
      <c r="E7">
        <v>3</v>
      </c>
      <c r="F7" s="4">
        <v>2328.96</v>
      </c>
      <c r="G7">
        <v>17.72</v>
      </c>
      <c r="H7" s="4">
        <v>3.6999999999999998E-2</v>
      </c>
      <c r="I7">
        <v>3</v>
      </c>
      <c r="J7" s="4">
        <v>14.53</v>
      </c>
      <c r="K7" s="4">
        <v>1868.36</v>
      </c>
      <c r="L7" s="4">
        <v>13.22</v>
      </c>
      <c r="M7" s="4">
        <v>0.23699999999999999</v>
      </c>
    </row>
    <row r="8" spans="1:13" x14ac:dyDescent="0.2">
      <c r="A8" t="s">
        <v>88</v>
      </c>
      <c r="B8" s="4">
        <v>1884.91</v>
      </c>
      <c r="C8">
        <v>19.420000000000002</v>
      </c>
      <c r="D8" s="4">
        <v>0.30099999999999999</v>
      </c>
      <c r="E8">
        <v>3</v>
      </c>
      <c r="F8" s="4">
        <v>1948.12</v>
      </c>
      <c r="G8" s="4">
        <v>12.36</v>
      </c>
      <c r="H8" s="4">
        <v>4.1000000000000002E-2</v>
      </c>
      <c r="I8">
        <v>3</v>
      </c>
      <c r="J8" s="4">
        <v>15.76</v>
      </c>
      <c r="K8" s="4">
        <v>1958.74</v>
      </c>
      <c r="L8" s="4">
        <v>12.53</v>
      </c>
      <c r="M8" s="4">
        <v>5.3999999999999999E-2</v>
      </c>
    </row>
    <row r="9" spans="1:13" x14ac:dyDescent="0.2">
      <c r="A9" t="s">
        <v>89</v>
      </c>
      <c r="B9" s="4">
        <v>2958.77</v>
      </c>
      <c r="C9" s="4">
        <v>23.01</v>
      </c>
      <c r="D9" s="4">
        <v>0.245</v>
      </c>
      <c r="E9">
        <v>3</v>
      </c>
      <c r="F9" s="4">
        <v>2576.46</v>
      </c>
      <c r="G9" s="4">
        <v>27.44</v>
      </c>
      <c r="H9" s="4">
        <v>9.9000000000000005E-2</v>
      </c>
      <c r="I9">
        <v>3</v>
      </c>
      <c r="J9" s="4">
        <v>11.57</v>
      </c>
      <c r="K9" s="4">
        <v>1834.62</v>
      </c>
      <c r="L9" s="4">
        <v>11.59</v>
      </c>
      <c r="M9" s="4">
        <v>0.19500000000000001</v>
      </c>
    </row>
    <row r="10" spans="1:13" x14ac:dyDescent="0.2">
      <c r="A10" t="s">
        <v>86</v>
      </c>
      <c r="B10" s="4">
        <v>1902.94</v>
      </c>
      <c r="C10" s="4">
        <v>15.62</v>
      </c>
      <c r="D10" s="4">
        <v>-3.4000000000000002E-2</v>
      </c>
      <c r="E10">
        <v>7</v>
      </c>
      <c r="F10" s="4">
        <v>2024.85</v>
      </c>
      <c r="G10" s="4">
        <v>15.8</v>
      </c>
      <c r="H10">
        <v>-0.14399999999999999</v>
      </c>
      <c r="I10">
        <v>4</v>
      </c>
      <c r="J10" s="4">
        <v>13.18</v>
      </c>
      <c r="K10" s="4">
        <v>1783.96</v>
      </c>
      <c r="L10" s="4">
        <v>12.24</v>
      </c>
      <c r="M10" s="4">
        <v>0.17699999999999999</v>
      </c>
    </row>
    <row r="11" spans="1:13" x14ac:dyDescent="0.2">
      <c r="A11" t="s">
        <v>87</v>
      </c>
      <c r="B11" s="4">
        <v>2637.6</v>
      </c>
      <c r="C11" s="4">
        <v>22.38</v>
      </c>
      <c r="D11" s="4">
        <v>8.9999999999999993E-3</v>
      </c>
      <c r="E11">
        <v>3</v>
      </c>
      <c r="F11" s="4">
        <v>2400.0100000000002</v>
      </c>
      <c r="G11" s="4">
        <v>21.14</v>
      </c>
      <c r="H11">
        <v>-0.04</v>
      </c>
      <c r="I11">
        <v>3</v>
      </c>
      <c r="J11" s="4">
        <v>14.53</v>
      </c>
      <c r="K11" s="4">
        <v>1904.82</v>
      </c>
      <c r="L11" s="4">
        <v>13.71</v>
      </c>
      <c r="M11" s="4">
        <v>0.13800000000000001</v>
      </c>
    </row>
    <row r="12" spans="1:13" x14ac:dyDescent="0.2">
      <c r="A12" t="s">
        <v>88</v>
      </c>
      <c r="B12" s="4">
        <v>1947.66</v>
      </c>
      <c r="C12" s="4">
        <v>18.420000000000002</v>
      </c>
      <c r="D12" s="4">
        <v>0.30099999999999999</v>
      </c>
      <c r="E12">
        <v>3</v>
      </c>
      <c r="F12" s="4">
        <v>1982.25</v>
      </c>
      <c r="G12" s="4">
        <v>12.45</v>
      </c>
      <c r="H12">
        <v>-1.2999999999999999E-2</v>
      </c>
      <c r="I12">
        <v>3</v>
      </c>
      <c r="J12" s="4">
        <v>15.76</v>
      </c>
      <c r="K12" s="4">
        <v>1960.67</v>
      </c>
      <c r="L12" s="4">
        <v>12.73</v>
      </c>
      <c r="M12" s="4">
        <v>0.03</v>
      </c>
    </row>
    <row r="13" spans="1:13" x14ac:dyDescent="0.2">
      <c r="A13" t="s">
        <v>89</v>
      </c>
      <c r="B13" s="4">
        <v>3056.46</v>
      </c>
      <c r="C13" s="4">
        <v>28.67</v>
      </c>
      <c r="D13" s="4">
        <v>0.24</v>
      </c>
      <c r="E13">
        <v>3</v>
      </c>
      <c r="F13" s="4">
        <v>2258.16</v>
      </c>
      <c r="G13" s="4">
        <v>22.76</v>
      </c>
      <c r="H13" s="4">
        <v>0.154</v>
      </c>
      <c r="I13">
        <v>3</v>
      </c>
      <c r="J13" s="4">
        <v>11.57</v>
      </c>
      <c r="K13" s="4">
        <v>1832.74</v>
      </c>
      <c r="L13" s="4">
        <v>11.49</v>
      </c>
      <c r="M13" s="4">
        <v>0.2</v>
      </c>
    </row>
    <row r="14" spans="1:13" x14ac:dyDescent="0.2">
      <c r="A14" t="s">
        <v>86</v>
      </c>
      <c r="B14" s="4">
        <v>2138.83</v>
      </c>
      <c r="C14" s="4">
        <v>16.03</v>
      </c>
      <c r="D14" s="4">
        <v>-4.7E-2</v>
      </c>
      <c r="E14">
        <v>4</v>
      </c>
      <c r="F14" s="4">
        <v>2355.71</v>
      </c>
      <c r="G14" s="4">
        <v>20.32</v>
      </c>
      <c r="H14" s="4">
        <v>9.5000000000000001E-2</v>
      </c>
      <c r="I14">
        <v>3</v>
      </c>
      <c r="J14" s="4">
        <v>13.18</v>
      </c>
      <c r="K14" s="4">
        <v>1687.9</v>
      </c>
      <c r="L14" s="4">
        <v>11.22</v>
      </c>
      <c r="M14" s="4">
        <v>0.36399999999999999</v>
      </c>
    </row>
    <row r="15" spans="1:13" x14ac:dyDescent="0.2">
      <c r="A15" t="s">
        <v>87</v>
      </c>
      <c r="B15" s="4">
        <v>2641.58</v>
      </c>
      <c r="C15" s="4">
        <v>20.440000000000001</v>
      </c>
      <c r="D15" s="4">
        <v>6.2E-2</v>
      </c>
      <c r="E15">
        <v>3</v>
      </c>
      <c r="F15" s="4">
        <v>2708.56</v>
      </c>
      <c r="G15" s="4">
        <v>30.12</v>
      </c>
      <c r="H15" s="4">
        <v>-0.108</v>
      </c>
      <c r="I15">
        <v>3</v>
      </c>
      <c r="J15" s="4">
        <v>14.53</v>
      </c>
      <c r="K15" s="4">
        <v>1906.79</v>
      </c>
      <c r="L15" s="4">
        <v>13.92</v>
      </c>
      <c r="M15" s="4">
        <v>0.13100000000000001</v>
      </c>
    </row>
    <row r="16" spans="1:13" x14ac:dyDescent="0.2">
      <c r="A16" t="s">
        <v>88</v>
      </c>
      <c r="B16" s="4">
        <v>1891.86</v>
      </c>
      <c r="C16" s="4">
        <v>14.92</v>
      </c>
      <c r="D16" s="4">
        <v>0.44800000000000001</v>
      </c>
      <c r="E16">
        <v>3</v>
      </c>
      <c r="F16" s="4">
        <v>1902.68</v>
      </c>
      <c r="G16" s="4">
        <v>13.1</v>
      </c>
      <c r="H16" s="4">
        <v>0.18099999999999999</v>
      </c>
      <c r="I16">
        <v>4</v>
      </c>
      <c r="J16" s="4">
        <v>15.76</v>
      </c>
      <c r="K16" s="4">
        <v>1904.09</v>
      </c>
      <c r="L16" s="4">
        <v>11.94</v>
      </c>
      <c r="M16" s="4">
        <v>0.24</v>
      </c>
    </row>
    <row r="17" spans="1:17" x14ac:dyDescent="0.2">
      <c r="A17" t="s">
        <v>89</v>
      </c>
      <c r="B17" s="4">
        <v>2627.92</v>
      </c>
      <c r="C17" s="4">
        <v>21.84</v>
      </c>
      <c r="D17" s="4">
        <v>0.221</v>
      </c>
      <c r="E17">
        <v>3</v>
      </c>
      <c r="F17" s="4">
        <v>2394.19</v>
      </c>
      <c r="G17" s="4">
        <v>25.51</v>
      </c>
      <c r="H17" s="4">
        <v>0.189</v>
      </c>
      <c r="I17">
        <v>3</v>
      </c>
      <c r="J17" s="4">
        <v>11.57</v>
      </c>
      <c r="K17" s="4">
        <v>1827.58</v>
      </c>
      <c r="L17" s="4">
        <v>11.39</v>
      </c>
      <c r="M17" s="4">
        <v>0.21299999999999999</v>
      </c>
    </row>
    <row r="18" spans="1:17" x14ac:dyDescent="0.2">
      <c r="A18" t="s">
        <v>22</v>
      </c>
      <c r="B18">
        <f>GEOMEAN(B2:B17)</f>
        <v>2321.1051607636118</v>
      </c>
      <c r="C18">
        <f t="shared" ref="C18:M18" si="0">GEOMEAN(C2:C17)</f>
        <v>19.053355285601224</v>
      </c>
      <c r="D18">
        <f>SUM(D2:D17)/16</f>
        <v>0.1539375</v>
      </c>
      <c r="E18">
        <f t="shared" si="0"/>
        <v>3.4241400598871872</v>
      </c>
      <c r="F18">
        <f t="shared" si="0"/>
        <v>2265.8210382722073</v>
      </c>
      <c r="G18">
        <f t="shared" si="0"/>
        <v>18.911992634083525</v>
      </c>
      <c r="H18">
        <f>SUM(H2:H17)/16</f>
        <v>4.3874999999999997E-2</v>
      </c>
      <c r="I18">
        <f t="shared" si="0"/>
        <v>3.1662650552983007</v>
      </c>
      <c r="J18">
        <f t="shared" si="0"/>
        <v>13.669972760325427</v>
      </c>
      <c r="K18">
        <f t="shared" si="0"/>
        <v>1841.7188945345856</v>
      </c>
      <c r="L18">
        <f t="shared" si="0"/>
        <v>12.232205065537405</v>
      </c>
      <c r="M18">
        <f t="shared" si="0"/>
        <v>0.17715738158317162</v>
      </c>
    </row>
    <row r="19" spans="1:17" x14ac:dyDescent="0.2">
      <c r="A19" t="s">
        <v>208</v>
      </c>
      <c r="B19">
        <f>STDEV(B2:B18)</f>
        <v>481.29681833870927</v>
      </c>
      <c r="C19">
        <f t="shared" ref="C19:M19" si="1">STDEV(C2:C18)</f>
        <v>4.6507627429814109</v>
      </c>
      <c r="D19">
        <f t="shared" si="1"/>
        <v>0.14911592334070162</v>
      </c>
      <c r="E19">
        <f t="shared" si="1"/>
        <v>1.1714178744789183</v>
      </c>
      <c r="F19">
        <f t="shared" si="1"/>
        <v>297.47102330215074</v>
      </c>
      <c r="G19">
        <f t="shared" si="1"/>
        <v>5.4486207534914435</v>
      </c>
      <c r="H19">
        <f t="shared" si="1"/>
        <v>0.14271163013223553</v>
      </c>
      <c r="I19">
        <f t="shared" si="1"/>
        <v>0.39034635245520827</v>
      </c>
      <c r="J19">
        <f t="shared" si="1"/>
        <v>1.5594315499732316</v>
      </c>
      <c r="K19">
        <f t="shared" si="1"/>
        <v>80.421087302763141</v>
      </c>
      <c r="L19">
        <f t="shared" si="1"/>
        <v>0.93634512361285194</v>
      </c>
      <c r="M19">
        <f t="shared" si="1"/>
        <v>9.0989510796138096E-2</v>
      </c>
    </row>
    <row r="20" spans="1:17" x14ac:dyDescent="0.2">
      <c r="A20" t="s">
        <v>91</v>
      </c>
      <c r="B20">
        <f>_xlfn.T.TEST(B2:B17,F2:F17,1,1)</f>
        <v>0.23902211790409683</v>
      </c>
      <c r="C20" t="s">
        <v>95</v>
      </c>
      <c r="O20" s="2" t="s">
        <v>81</v>
      </c>
      <c r="P20" s="2" t="s">
        <v>82</v>
      </c>
      <c r="Q20" s="2" t="s">
        <v>83</v>
      </c>
    </row>
    <row r="21" spans="1:17" x14ac:dyDescent="0.2">
      <c r="A21" t="s">
        <v>92</v>
      </c>
      <c r="B21">
        <f>_xlfn.T.TEST(C2:C17,G2:G17,1,1)</f>
        <v>0.47374779965483454</v>
      </c>
      <c r="N21" t="s">
        <v>0</v>
      </c>
      <c r="O21" t="s">
        <v>103</v>
      </c>
      <c r="P21" s="4" t="s">
        <v>104</v>
      </c>
      <c r="Q21" t="s">
        <v>105</v>
      </c>
    </row>
    <row r="22" spans="1:17" x14ac:dyDescent="0.2">
      <c r="A22" t="s">
        <v>93</v>
      </c>
      <c r="B22">
        <f>_xlfn.T.TEST(B4:B19,F4:F19,1,1)</f>
        <v>0.16751480999243862</v>
      </c>
      <c r="N22" t="s">
        <v>4</v>
      </c>
      <c r="O22" s="4" t="s">
        <v>110</v>
      </c>
      <c r="P22" t="s">
        <v>111</v>
      </c>
      <c r="Q22" t="s">
        <v>112</v>
      </c>
    </row>
    <row r="23" spans="1:17" x14ac:dyDescent="0.2">
      <c r="A23" t="s">
        <v>94</v>
      </c>
      <c r="B23">
        <f>_xlfn.T.TEST(E2:E17,I2:I17,1,1)</f>
        <v>9.4068531091504273E-2</v>
      </c>
      <c r="N23" t="s">
        <v>5</v>
      </c>
      <c r="O23" t="s">
        <v>121</v>
      </c>
      <c r="P23" t="s">
        <v>122</v>
      </c>
      <c r="Q23" t="s">
        <v>123</v>
      </c>
    </row>
    <row r="24" spans="1:17" x14ac:dyDescent="0.2">
      <c r="N24" t="s">
        <v>6</v>
      </c>
      <c r="O24" t="s">
        <v>131</v>
      </c>
      <c r="P24" t="s">
        <v>132</v>
      </c>
      <c r="Q24" t="s">
        <v>133</v>
      </c>
    </row>
    <row r="25" spans="1:17" x14ac:dyDescent="0.2">
      <c r="A25" t="s">
        <v>91</v>
      </c>
      <c r="B25">
        <f>_xlfn.T.TEST(B2:B17,K2:K17,1,1)</f>
        <v>4.2074215892282021E-4</v>
      </c>
      <c r="C25" t="s">
        <v>96</v>
      </c>
      <c r="N25" t="s">
        <v>0</v>
      </c>
      <c r="O25" t="s">
        <v>140</v>
      </c>
      <c r="P25" t="s">
        <v>141</v>
      </c>
      <c r="Q25" t="s">
        <v>142</v>
      </c>
    </row>
    <row r="26" spans="1:17" x14ac:dyDescent="0.2">
      <c r="A26" t="s">
        <v>92</v>
      </c>
      <c r="B26">
        <f>_xlfn.T.TEST(C2:C17,L2:L17,1,1)</f>
        <v>1.0737451387760935E-5</v>
      </c>
      <c r="N26" t="s">
        <v>4</v>
      </c>
      <c r="O26" t="s">
        <v>150</v>
      </c>
      <c r="P26" t="s">
        <v>151</v>
      </c>
      <c r="Q26" t="s">
        <v>152</v>
      </c>
    </row>
    <row r="27" spans="1:17" x14ac:dyDescent="0.2">
      <c r="A27" t="s">
        <v>93</v>
      </c>
      <c r="B27">
        <f>_xlfn.T.TEST(D2:D17,M2:M17,1,1)</f>
        <v>0.15440981960061786</v>
      </c>
      <c r="N27" t="s">
        <v>5</v>
      </c>
      <c r="O27" t="s">
        <v>158</v>
      </c>
      <c r="P27" t="s">
        <v>159</v>
      </c>
      <c r="Q27" t="s">
        <v>160</v>
      </c>
    </row>
    <row r="28" spans="1:17" x14ac:dyDescent="0.2">
      <c r="N28" t="s">
        <v>6</v>
      </c>
      <c r="O28" t="s">
        <v>167</v>
      </c>
      <c r="P28" t="s">
        <v>168</v>
      </c>
      <c r="Q28" t="s">
        <v>169</v>
      </c>
    </row>
    <row r="29" spans="1:17" x14ac:dyDescent="0.2">
      <c r="N29" t="s">
        <v>0</v>
      </c>
      <c r="O29" t="s">
        <v>176</v>
      </c>
      <c r="P29" t="s">
        <v>177</v>
      </c>
      <c r="Q29" t="s">
        <v>178</v>
      </c>
    </row>
    <row r="30" spans="1:17" x14ac:dyDescent="0.2">
      <c r="N30" t="s">
        <v>4</v>
      </c>
      <c r="O30" t="s">
        <v>185</v>
      </c>
      <c r="P30" t="s">
        <v>90</v>
      </c>
      <c r="Q30" t="s">
        <v>186</v>
      </c>
    </row>
    <row r="31" spans="1:17" x14ac:dyDescent="0.2">
      <c r="N31" t="s">
        <v>5</v>
      </c>
      <c r="O31" t="s">
        <v>191</v>
      </c>
      <c r="P31" t="s">
        <v>192</v>
      </c>
      <c r="Q31" t="s">
        <v>193</v>
      </c>
    </row>
    <row r="32" spans="1:17" x14ac:dyDescent="0.2">
      <c r="N32" t="s">
        <v>6</v>
      </c>
      <c r="O32" t="s">
        <v>200</v>
      </c>
      <c r="P32" t="s">
        <v>201</v>
      </c>
      <c r="Q32" t="s">
        <v>85</v>
      </c>
    </row>
    <row r="33" spans="1:17" x14ac:dyDescent="0.2">
      <c r="B33" s="2" t="s">
        <v>1</v>
      </c>
      <c r="C33" s="2" t="s">
        <v>2</v>
      </c>
      <c r="D33" s="2" t="s">
        <v>3</v>
      </c>
      <c r="E33" s="2" t="s">
        <v>12</v>
      </c>
      <c r="F33" s="2" t="s">
        <v>16</v>
      </c>
      <c r="G33" s="2" t="s">
        <v>15</v>
      </c>
      <c r="H33" s="2" t="s">
        <v>17</v>
      </c>
      <c r="I33" s="2" t="s">
        <v>18</v>
      </c>
      <c r="J33" s="2" t="s">
        <v>13</v>
      </c>
      <c r="K33" s="2" t="s">
        <v>81</v>
      </c>
      <c r="L33" s="2" t="s">
        <v>82</v>
      </c>
      <c r="M33" s="2" t="s">
        <v>83</v>
      </c>
      <c r="O33" s="4"/>
      <c r="P33" s="4"/>
      <c r="Q33" s="4"/>
    </row>
    <row r="34" spans="1:17" x14ac:dyDescent="0.2">
      <c r="A34" t="s">
        <v>0</v>
      </c>
      <c r="B34" t="s">
        <v>97</v>
      </c>
      <c r="C34" t="s">
        <v>98</v>
      </c>
      <c r="D34" t="s">
        <v>99</v>
      </c>
      <c r="E34">
        <v>3</v>
      </c>
      <c r="F34" s="4" t="s">
        <v>100</v>
      </c>
      <c r="G34" t="s">
        <v>101</v>
      </c>
      <c r="H34">
        <v>-0.126</v>
      </c>
      <c r="I34">
        <v>3</v>
      </c>
      <c r="J34" t="s">
        <v>102</v>
      </c>
      <c r="K34" t="s">
        <v>103</v>
      </c>
      <c r="L34" s="4" t="s">
        <v>104</v>
      </c>
      <c r="M34" t="s">
        <v>105</v>
      </c>
      <c r="O34" s="4"/>
      <c r="P34" s="4"/>
      <c r="Q34" s="4"/>
    </row>
    <row r="35" spans="1:17" x14ac:dyDescent="0.2">
      <c r="A35" t="s">
        <v>4</v>
      </c>
      <c r="B35" t="s">
        <v>106</v>
      </c>
      <c r="C35" t="s">
        <v>107</v>
      </c>
      <c r="D35">
        <v>-0.108</v>
      </c>
      <c r="E35">
        <v>3</v>
      </c>
      <c r="F35" t="s">
        <v>108</v>
      </c>
      <c r="G35" s="4" t="s">
        <v>109</v>
      </c>
      <c r="H35">
        <v>-0.14299999999999999</v>
      </c>
      <c r="I35">
        <v>3</v>
      </c>
      <c r="J35" s="4" t="s">
        <v>113</v>
      </c>
      <c r="K35" s="4" t="s">
        <v>110</v>
      </c>
      <c r="L35" t="s">
        <v>111</v>
      </c>
      <c r="M35" t="s">
        <v>112</v>
      </c>
      <c r="O35" s="4"/>
      <c r="P35" s="4"/>
      <c r="Q35" s="4"/>
    </row>
    <row r="36" spans="1:17" x14ac:dyDescent="0.2">
      <c r="A36" t="s">
        <v>5</v>
      </c>
      <c r="B36" t="s">
        <v>115</v>
      </c>
      <c r="C36" t="s">
        <v>116</v>
      </c>
      <c r="D36" t="s">
        <v>117</v>
      </c>
      <c r="E36">
        <v>8</v>
      </c>
      <c r="F36" s="4" t="s">
        <v>118</v>
      </c>
      <c r="G36" t="s">
        <v>119</v>
      </c>
      <c r="H36" t="s">
        <v>120</v>
      </c>
      <c r="I36">
        <v>12</v>
      </c>
      <c r="J36" t="s">
        <v>114</v>
      </c>
      <c r="K36" t="s">
        <v>121</v>
      </c>
      <c r="L36" t="s">
        <v>122</v>
      </c>
      <c r="M36" t="s">
        <v>123</v>
      </c>
      <c r="O36" s="4"/>
      <c r="P36" s="4"/>
      <c r="Q36" s="4"/>
    </row>
    <row r="37" spans="1:17" x14ac:dyDescent="0.2">
      <c r="A37" t="s">
        <v>6</v>
      </c>
      <c r="B37" t="s">
        <v>125</v>
      </c>
      <c r="C37" s="4" t="s">
        <v>126</v>
      </c>
      <c r="D37" t="s">
        <v>127</v>
      </c>
      <c r="E37">
        <v>8</v>
      </c>
      <c r="F37" t="s">
        <v>128</v>
      </c>
      <c r="G37" t="s">
        <v>129</v>
      </c>
      <c r="H37" t="s">
        <v>130</v>
      </c>
      <c r="I37">
        <v>11</v>
      </c>
      <c r="J37" t="s">
        <v>124</v>
      </c>
      <c r="K37" t="s">
        <v>131</v>
      </c>
      <c r="L37" t="s">
        <v>132</v>
      </c>
      <c r="M37" t="s">
        <v>133</v>
      </c>
    </row>
    <row r="38" spans="1:17" x14ac:dyDescent="0.2">
      <c r="A38" t="s">
        <v>0</v>
      </c>
      <c r="B38" t="s">
        <v>136</v>
      </c>
      <c r="C38" t="s">
        <v>134</v>
      </c>
      <c r="D38" t="s">
        <v>135</v>
      </c>
      <c r="F38" s="4" t="s">
        <v>137</v>
      </c>
      <c r="G38" t="s">
        <v>138</v>
      </c>
      <c r="H38" t="s">
        <v>139</v>
      </c>
      <c r="I38">
        <v>9</v>
      </c>
      <c r="J38" t="s">
        <v>102</v>
      </c>
      <c r="K38" t="s">
        <v>140</v>
      </c>
      <c r="L38" t="s">
        <v>141</v>
      </c>
      <c r="M38" t="s">
        <v>142</v>
      </c>
    </row>
    <row r="39" spans="1:17" x14ac:dyDescent="0.2">
      <c r="A39" t="s">
        <v>4</v>
      </c>
      <c r="B39" t="s">
        <v>143</v>
      </c>
      <c r="C39" t="s">
        <v>144</v>
      </c>
      <c r="D39" t="s">
        <v>145</v>
      </c>
      <c r="E39">
        <v>25</v>
      </c>
      <c r="F39" t="s">
        <v>146</v>
      </c>
      <c r="G39" t="s">
        <v>147</v>
      </c>
      <c r="H39" t="s">
        <v>148</v>
      </c>
      <c r="I39" s="4" t="s">
        <v>149</v>
      </c>
      <c r="J39" t="s">
        <v>113</v>
      </c>
      <c r="K39" t="s">
        <v>150</v>
      </c>
      <c r="L39" t="s">
        <v>151</v>
      </c>
      <c r="M39" t="s">
        <v>152</v>
      </c>
    </row>
    <row r="40" spans="1:17" x14ac:dyDescent="0.2">
      <c r="A40" t="s">
        <v>5</v>
      </c>
      <c r="B40" t="s">
        <v>154</v>
      </c>
      <c r="C40" s="4" t="s">
        <v>84</v>
      </c>
      <c r="D40" t="s">
        <v>153</v>
      </c>
      <c r="E40">
        <v>6</v>
      </c>
      <c r="F40" s="4" t="s">
        <v>155</v>
      </c>
      <c r="G40" t="s">
        <v>156</v>
      </c>
      <c r="H40" t="s">
        <v>157</v>
      </c>
      <c r="I40">
        <v>10</v>
      </c>
      <c r="J40" t="s">
        <v>42</v>
      </c>
      <c r="K40" t="s">
        <v>158</v>
      </c>
      <c r="L40" t="s">
        <v>159</v>
      </c>
      <c r="M40" t="s">
        <v>160</v>
      </c>
    </row>
    <row r="41" spans="1:17" x14ac:dyDescent="0.2">
      <c r="A41" t="s">
        <v>6</v>
      </c>
      <c r="B41" t="s">
        <v>161</v>
      </c>
      <c r="C41" t="s">
        <v>162</v>
      </c>
      <c r="D41" t="s">
        <v>163</v>
      </c>
      <c r="E41">
        <v>6</v>
      </c>
      <c r="F41" t="s">
        <v>164</v>
      </c>
      <c r="G41" t="s">
        <v>165</v>
      </c>
      <c r="H41" t="s">
        <v>166</v>
      </c>
      <c r="I41" t="s">
        <v>149</v>
      </c>
      <c r="J41" t="s">
        <v>124</v>
      </c>
      <c r="K41" t="s">
        <v>167</v>
      </c>
      <c r="L41" t="s">
        <v>168</v>
      </c>
      <c r="M41" t="s">
        <v>169</v>
      </c>
    </row>
    <row r="42" spans="1:17" x14ac:dyDescent="0.2">
      <c r="A42" t="s">
        <v>0</v>
      </c>
      <c r="B42" t="s">
        <v>170</v>
      </c>
      <c r="C42" t="s">
        <v>171</v>
      </c>
      <c r="D42" t="s">
        <v>172</v>
      </c>
      <c r="E42">
        <v>6</v>
      </c>
      <c r="F42" s="4" t="s">
        <v>173</v>
      </c>
      <c r="G42" t="s">
        <v>174</v>
      </c>
      <c r="H42" t="s">
        <v>175</v>
      </c>
      <c r="I42">
        <v>6</v>
      </c>
      <c r="J42" t="s">
        <v>102</v>
      </c>
      <c r="K42" t="s">
        <v>176</v>
      </c>
      <c r="L42" t="s">
        <v>177</v>
      </c>
      <c r="M42" t="s">
        <v>178</v>
      </c>
    </row>
    <row r="43" spans="1:17" x14ac:dyDescent="0.2">
      <c r="A43" t="s">
        <v>4</v>
      </c>
      <c r="B43" t="s">
        <v>179</v>
      </c>
      <c r="C43" t="s">
        <v>180</v>
      </c>
      <c r="D43" t="s">
        <v>181</v>
      </c>
      <c r="E43">
        <v>6</v>
      </c>
      <c r="F43" t="s">
        <v>182</v>
      </c>
      <c r="G43" t="s">
        <v>183</v>
      </c>
      <c r="H43" t="s">
        <v>184</v>
      </c>
      <c r="I43">
        <v>8</v>
      </c>
      <c r="J43" t="s">
        <v>113</v>
      </c>
      <c r="K43" t="s">
        <v>185</v>
      </c>
      <c r="L43" t="s">
        <v>90</v>
      </c>
      <c r="M43" t="s">
        <v>186</v>
      </c>
    </row>
    <row r="44" spans="1:17" x14ac:dyDescent="0.2">
      <c r="A44" t="s">
        <v>5</v>
      </c>
      <c r="B44" t="s">
        <v>187</v>
      </c>
      <c r="C44" t="s">
        <v>188</v>
      </c>
      <c r="D44" t="s">
        <v>189</v>
      </c>
      <c r="E44">
        <v>6</v>
      </c>
      <c r="F44" s="4" t="s">
        <v>190</v>
      </c>
      <c r="G44" t="s">
        <v>188</v>
      </c>
      <c r="H44" t="s">
        <v>189</v>
      </c>
      <c r="I44" t="s">
        <v>149</v>
      </c>
      <c r="J44" t="s">
        <v>42</v>
      </c>
      <c r="K44" t="s">
        <v>191</v>
      </c>
      <c r="L44" t="s">
        <v>192</v>
      </c>
      <c r="M44" t="s">
        <v>193</v>
      </c>
    </row>
    <row r="45" spans="1:17" x14ac:dyDescent="0.2">
      <c r="A45" t="s">
        <v>6</v>
      </c>
      <c r="B45" s="4" t="s">
        <v>194</v>
      </c>
      <c r="C45" t="s">
        <v>195</v>
      </c>
      <c r="D45" t="s">
        <v>196</v>
      </c>
      <c r="E45">
        <v>7</v>
      </c>
      <c r="F45" t="s">
        <v>197</v>
      </c>
      <c r="G45" t="s">
        <v>198</v>
      </c>
      <c r="H45" t="s">
        <v>199</v>
      </c>
      <c r="I45">
        <v>7</v>
      </c>
      <c r="J45" t="s">
        <v>124</v>
      </c>
      <c r="K45" t="s">
        <v>200</v>
      </c>
      <c r="L45" t="s">
        <v>201</v>
      </c>
      <c r="M45" t="s">
        <v>85</v>
      </c>
    </row>
    <row r="48" spans="1:17" x14ac:dyDescent="0.2">
      <c r="A48" t="s">
        <v>202</v>
      </c>
      <c r="B48" t="e">
        <f>_xlfn.T.TEST(B34:B45,F34:F45,1,1)</f>
        <v>#DIV/0!</v>
      </c>
    </row>
    <row r="49" spans="1:1" x14ac:dyDescent="0.2">
      <c r="A49" t="s">
        <v>203</v>
      </c>
    </row>
    <row r="50" spans="1:1" x14ac:dyDescent="0.2">
      <c r="A50" t="s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5D07-35A7-2F4A-BADC-A79B4B1DA551}">
  <dimension ref="A1:E4"/>
  <sheetViews>
    <sheetView workbookViewId="0">
      <selection activeCell="D55" sqref="D55"/>
    </sheetView>
  </sheetViews>
  <sheetFormatPr baseColWidth="10" defaultRowHeight="16" x14ac:dyDescent="0.2"/>
  <sheetData>
    <row r="1" spans="1:5" x14ac:dyDescent="0.2">
      <c r="B1" t="s">
        <v>212</v>
      </c>
      <c r="C1" t="s">
        <v>213</v>
      </c>
      <c r="D1" t="s">
        <v>214</v>
      </c>
      <c r="E1" t="s">
        <v>215</v>
      </c>
    </row>
    <row r="2" spans="1:5" x14ac:dyDescent="0.2">
      <c r="A2" t="s">
        <v>210</v>
      </c>
    </row>
    <row r="3" spans="1:5" x14ac:dyDescent="0.2">
      <c r="A3" t="s">
        <v>211</v>
      </c>
    </row>
    <row r="4" spans="1:5" x14ac:dyDescent="0.2">
      <c r="A4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1E99-8761-A645-B3EB-20B362B8573A}">
  <dimension ref="A1:M26"/>
  <sheetViews>
    <sheetView workbookViewId="0">
      <selection activeCell="B18" sqref="B18"/>
    </sheetView>
  </sheetViews>
  <sheetFormatPr baseColWidth="10" defaultRowHeight="16" x14ac:dyDescent="0.2"/>
  <sheetData>
    <row r="1" spans="1:13" x14ac:dyDescent="0.2">
      <c r="B1" s="2" t="s">
        <v>1</v>
      </c>
      <c r="C1" s="2" t="s">
        <v>2</v>
      </c>
      <c r="D1" s="2" t="s">
        <v>3</v>
      </c>
      <c r="E1" s="2" t="s">
        <v>12</v>
      </c>
      <c r="F1" s="2" t="s">
        <v>16</v>
      </c>
      <c r="G1" s="2" t="s">
        <v>15</v>
      </c>
      <c r="H1" s="2" t="s">
        <v>17</v>
      </c>
      <c r="I1" s="2" t="s">
        <v>18</v>
      </c>
      <c r="J1" s="2" t="s">
        <v>13</v>
      </c>
      <c r="K1" s="2" t="s">
        <v>81</v>
      </c>
      <c r="L1" s="2" t="s">
        <v>82</v>
      </c>
      <c r="M1" s="2" t="s">
        <v>83</v>
      </c>
    </row>
    <row r="2" spans="1:13" x14ac:dyDescent="0.2">
      <c r="A2" t="s">
        <v>0</v>
      </c>
      <c r="B2">
        <v>4495.8</v>
      </c>
      <c r="C2">
        <v>55.25</v>
      </c>
      <c r="D2">
        <v>0.42399999999999999</v>
      </c>
      <c r="E2">
        <v>3</v>
      </c>
      <c r="F2" s="4">
        <v>2297.8200000000002</v>
      </c>
      <c r="G2">
        <v>16.88</v>
      </c>
      <c r="H2">
        <v>-0.126</v>
      </c>
      <c r="I2">
        <v>3</v>
      </c>
      <c r="J2">
        <v>12.98</v>
      </c>
      <c r="K2">
        <v>1738.41</v>
      </c>
      <c r="L2" s="4">
        <v>12.17</v>
      </c>
      <c r="M2">
        <v>0.25900000000000001</v>
      </c>
    </row>
    <row r="3" spans="1:13" x14ac:dyDescent="0.2">
      <c r="A3" t="s">
        <v>4</v>
      </c>
      <c r="B3">
        <v>2456.48</v>
      </c>
      <c r="C3">
        <v>19.559999999999999</v>
      </c>
      <c r="D3">
        <v>-0.108</v>
      </c>
      <c r="E3">
        <v>3</v>
      </c>
      <c r="F3">
        <v>2449.2800000000002</v>
      </c>
      <c r="G3" s="4">
        <v>22.31</v>
      </c>
      <c r="H3">
        <v>-0.14299999999999999</v>
      </c>
      <c r="I3">
        <v>3</v>
      </c>
      <c r="J3" s="4">
        <v>15.3</v>
      </c>
      <c r="K3" s="4">
        <v>1884.18</v>
      </c>
      <c r="L3">
        <v>13.99</v>
      </c>
      <c r="M3">
        <v>0.155</v>
      </c>
    </row>
    <row r="4" spans="1:13" x14ac:dyDescent="0.2">
      <c r="A4" t="s">
        <v>5</v>
      </c>
      <c r="B4">
        <v>2768.4</v>
      </c>
      <c r="C4">
        <v>18.86</v>
      </c>
      <c r="D4">
        <v>0.71399999999999997</v>
      </c>
      <c r="E4">
        <v>8</v>
      </c>
      <c r="F4" s="4">
        <v>2270.54</v>
      </c>
      <c r="G4">
        <v>17.57</v>
      </c>
      <c r="H4">
        <v>0.65800000000000003</v>
      </c>
      <c r="I4">
        <v>12</v>
      </c>
      <c r="J4">
        <v>15.51</v>
      </c>
      <c r="K4">
        <v>1748.79</v>
      </c>
      <c r="L4">
        <v>10.87</v>
      </c>
      <c r="M4">
        <v>0.66100000000000003</v>
      </c>
    </row>
    <row r="5" spans="1:13" x14ac:dyDescent="0.2">
      <c r="A5" t="s">
        <v>6</v>
      </c>
      <c r="B5">
        <v>2088.23</v>
      </c>
      <c r="C5" s="4">
        <v>13.73</v>
      </c>
      <c r="D5">
        <v>0.34699999999999998</v>
      </c>
      <c r="E5">
        <v>8</v>
      </c>
      <c r="F5">
        <v>1936.8</v>
      </c>
      <c r="G5">
        <v>13.08</v>
      </c>
      <c r="H5">
        <v>0.36299999999999999</v>
      </c>
      <c r="I5">
        <v>11</v>
      </c>
      <c r="J5">
        <v>11.44</v>
      </c>
      <c r="K5">
        <v>1654.85</v>
      </c>
      <c r="L5">
        <v>10.130000000000001</v>
      </c>
      <c r="M5">
        <v>0.435</v>
      </c>
    </row>
    <row r="6" spans="1:13" x14ac:dyDescent="0.2">
      <c r="A6" t="s">
        <v>0</v>
      </c>
      <c r="B6">
        <v>3864.58</v>
      </c>
      <c r="C6">
        <v>33.5</v>
      </c>
      <c r="D6">
        <v>0.38800000000000001</v>
      </c>
      <c r="F6" s="4">
        <v>1944.03</v>
      </c>
      <c r="G6">
        <v>16.62</v>
      </c>
      <c r="H6">
        <v>3.5999999999999997E-2</v>
      </c>
      <c r="I6">
        <v>9</v>
      </c>
      <c r="J6">
        <v>12.98</v>
      </c>
      <c r="K6">
        <v>1772.73</v>
      </c>
      <c r="L6">
        <v>12.18</v>
      </c>
      <c r="M6">
        <v>0.17199999999999999</v>
      </c>
    </row>
    <row r="7" spans="1:13" x14ac:dyDescent="0.2">
      <c r="A7" t="s">
        <v>4</v>
      </c>
      <c r="B7">
        <v>2075.81</v>
      </c>
      <c r="C7">
        <v>15.11</v>
      </c>
      <c r="D7">
        <v>0.222</v>
      </c>
      <c r="E7">
        <v>25</v>
      </c>
      <c r="F7">
        <v>2415.8000000000002</v>
      </c>
      <c r="G7">
        <v>24.34</v>
      </c>
      <c r="H7">
        <v>0.17899999999999999</v>
      </c>
      <c r="I7" s="4" t="s">
        <v>149</v>
      </c>
      <c r="J7">
        <v>15.3</v>
      </c>
      <c r="K7">
        <v>1866.42</v>
      </c>
      <c r="L7">
        <v>13.94</v>
      </c>
      <c r="M7">
        <v>0.20599999999999999</v>
      </c>
    </row>
    <row r="8" spans="1:13" x14ac:dyDescent="0.2">
      <c r="A8" t="s">
        <v>5</v>
      </c>
      <c r="B8">
        <v>1788.71</v>
      </c>
      <c r="C8" s="4">
        <v>10.89</v>
      </c>
      <c r="D8">
        <v>0.44600000000000001</v>
      </c>
      <c r="E8">
        <v>6</v>
      </c>
      <c r="F8" s="4">
        <v>1904.48</v>
      </c>
      <c r="G8">
        <v>11.17</v>
      </c>
      <c r="H8">
        <v>0.376</v>
      </c>
      <c r="I8">
        <v>10</v>
      </c>
      <c r="J8">
        <v>14.25</v>
      </c>
      <c r="K8">
        <v>1705.34</v>
      </c>
      <c r="L8">
        <v>10.92</v>
      </c>
      <c r="M8">
        <v>0.51400000000000001</v>
      </c>
    </row>
    <row r="9" spans="1:13" x14ac:dyDescent="0.2">
      <c r="A9" t="s">
        <v>6</v>
      </c>
      <c r="B9">
        <v>2131.33</v>
      </c>
      <c r="C9">
        <v>17.190000000000001</v>
      </c>
      <c r="D9">
        <v>0.32800000000000001</v>
      </c>
      <c r="E9">
        <v>6</v>
      </c>
      <c r="F9">
        <v>2218.2600000000002</v>
      </c>
      <c r="G9">
        <v>17.28</v>
      </c>
      <c r="H9">
        <v>3.5000000000000003E-2</v>
      </c>
      <c r="I9" t="s">
        <v>149</v>
      </c>
      <c r="J9">
        <v>11.44</v>
      </c>
      <c r="K9">
        <v>1668.8</v>
      </c>
      <c r="L9">
        <v>10.57</v>
      </c>
      <c r="M9">
        <v>0.41899999999999998</v>
      </c>
    </row>
    <row r="10" spans="1:13" x14ac:dyDescent="0.2">
      <c r="A10" t="s">
        <v>0</v>
      </c>
      <c r="B10">
        <v>4685.54</v>
      </c>
      <c r="C10">
        <v>57.64</v>
      </c>
      <c r="D10">
        <v>0.40500000000000003</v>
      </c>
      <c r="E10">
        <v>6</v>
      </c>
      <c r="F10" s="4">
        <v>2414.2800000000002</v>
      </c>
      <c r="G10">
        <v>24.64</v>
      </c>
      <c r="H10">
        <v>0.253</v>
      </c>
      <c r="I10">
        <v>6</v>
      </c>
      <c r="J10">
        <v>12.98</v>
      </c>
      <c r="K10">
        <v>1721.66</v>
      </c>
      <c r="L10">
        <v>11.97</v>
      </c>
      <c r="M10">
        <v>0.29099999999999998</v>
      </c>
    </row>
    <row r="11" spans="1:13" x14ac:dyDescent="0.2">
      <c r="A11" t="s">
        <v>4</v>
      </c>
      <c r="B11">
        <v>2242.2399999999998</v>
      </c>
      <c r="C11">
        <v>20.3</v>
      </c>
      <c r="D11">
        <v>1E-3</v>
      </c>
      <c r="E11">
        <v>6</v>
      </c>
      <c r="F11">
        <v>2295.09</v>
      </c>
      <c r="G11">
        <v>25.34</v>
      </c>
      <c r="H11">
        <v>0.17100000000000001</v>
      </c>
      <c r="I11">
        <v>8</v>
      </c>
      <c r="J11">
        <v>15.3</v>
      </c>
      <c r="K11">
        <v>1868.86</v>
      </c>
      <c r="L11">
        <v>13.95</v>
      </c>
      <c r="M11">
        <v>0.19900000000000001</v>
      </c>
    </row>
    <row r="12" spans="1:13" x14ac:dyDescent="0.2">
      <c r="A12" t="s">
        <v>5</v>
      </c>
      <c r="B12">
        <v>1975.98</v>
      </c>
      <c r="C12">
        <v>11.29</v>
      </c>
      <c r="D12">
        <v>0.35399999999999998</v>
      </c>
      <c r="E12">
        <v>6</v>
      </c>
      <c r="F12" s="4">
        <v>1906.54</v>
      </c>
      <c r="G12">
        <v>11.29</v>
      </c>
      <c r="H12">
        <v>0.35399999999999998</v>
      </c>
      <c r="I12" t="s">
        <v>149</v>
      </c>
      <c r="J12">
        <v>14.25</v>
      </c>
      <c r="K12">
        <v>1875.95</v>
      </c>
      <c r="L12">
        <v>11.83</v>
      </c>
      <c r="M12">
        <v>0.33100000000000002</v>
      </c>
    </row>
    <row r="13" spans="1:13" x14ac:dyDescent="0.2">
      <c r="A13" t="s">
        <v>6</v>
      </c>
      <c r="B13" s="4">
        <v>2041.99</v>
      </c>
      <c r="C13">
        <v>14.81</v>
      </c>
      <c r="D13">
        <v>0.39700000000000002</v>
      </c>
      <c r="E13">
        <v>7</v>
      </c>
      <c r="F13">
        <v>1944.74</v>
      </c>
      <c r="G13">
        <v>15.39</v>
      </c>
      <c r="H13">
        <v>0.26700000000000002</v>
      </c>
      <c r="I13">
        <v>7</v>
      </c>
      <c r="J13">
        <v>11.44</v>
      </c>
      <c r="K13">
        <v>1675.73</v>
      </c>
      <c r="L13">
        <v>10.38</v>
      </c>
      <c r="M13">
        <v>0.41099999999999998</v>
      </c>
    </row>
    <row r="14" spans="1:13" x14ac:dyDescent="0.2">
      <c r="A14" t="s">
        <v>22</v>
      </c>
      <c r="B14">
        <f>GEOMEAN(B2:B13)</f>
        <v>2569.3532546210281</v>
      </c>
      <c r="C14">
        <f t="shared" ref="C14:M14" si="0">GEOMEAN(C2:C13)</f>
        <v>20.397782176233779</v>
      </c>
      <c r="D14">
        <f>SUM(D2:D13)/12</f>
        <v>0.32650000000000001</v>
      </c>
      <c r="E14">
        <f t="shared" si="0"/>
        <v>6.4352461313069531</v>
      </c>
      <c r="F14">
        <f t="shared" si="0"/>
        <v>2156.0127942439126</v>
      </c>
      <c r="G14">
        <f t="shared" si="0"/>
        <v>17.328660434290018</v>
      </c>
      <c r="H14">
        <f>SUM(H2:H13)/12</f>
        <v>0.20191666666666663</v>
      </c>
      <c r="I14">
        <f t="shared" si="0"/>
        <v>6.9101693663290202</v>
      </c>
      <c r="J14">
        <f t="shared" si="0"/>
        <v>13.508843305115358</v>
      </c>
      <c r="K14">
        <f t="shared" si="0"/>
        <v>1763.1894023833875</v>
      </c>
      <c r="L14">
        <f t="shared" si="0"/>
        <v>11.83269813970106</v>
      </c>
      <c r="M14">
        <f t="shared" si="0"/>
        <v>0.30674387935603642</v>
      </c>
    </row>
    <row r="15" spans="1:13" x14ac:dyDescent="0.2">
      <c r="A15" t="s">
        <v>209</v>
      </c>
      <c r="B15">
        <f>STDEV(B2:B13)</f>
        <v>1029.9194853567076</v>
      </c>
      <c r="C15">
        <f t="shared" ref="C15:M15" si="1">STDEV(C2:C13)</f>
        <v>16.256571515059459</v>
      </c>
      <c r="D15">
        <f t="shared" si="1"/>
        <v>0.21228133134207455</v>
      </c>
      <c r="E15">
        <f t="shared" si="1"/>
        <v>5.9878665194328979</v>
      </c>
      <c r="F15">
        <f t="shared" si="1"/>
        <v>221.24849406095956</v>
      </c>
      <c r="G15">
        <f t="shared" si="1"/>
        <v>5.0748025039941771</v>
      </c>
      <c r="H15">
        <f t="shared" si="1"/>
        <v>0.22914999388385265</v>
      </c>
      <c r="I15">
        <f t="shared" si="1"/>
        <v>3.2403703492039302</v>
      </c>
      <c r="J15">
        <f t="shared" si="1"/>
        <v>1.6043414111829184</v>
      </c>
      <c r="K15">
        <f t="shared" si="1"/>
        <v>87.078990299125294</v>
      </c>
      <c r="L15">
        <f t="shared" si="1"/>
        <v>1.4182565054148424</v>
      </c>
      <c r="M15">
        <f t="shared" si="1"/>
        <v>0.1545939696577634</v>
      </c>
    </row>
    <row r="17" spans="1:2" x14ac:dyDescent="0.2">
      <c r="A17" t="s">
        <v>206</v>
      </c>
    </row>
    <row r="18" spans="1:2" x14ac:dyDescent="0.2">
      <c r="A18" t="s">
        <v>205</v>
      </c>
      <c r="B18">
        <f>_xlfn.T.TEST(B2:B13,F2:F13,1,1)</f>
        <v>3.7934169978376599E-2</v>
      </c>
    </row>
    <row r="19" spans="1:2" x14ac:dyDescent="0.2">
      <c r="A19" t="s">
        <v>203</v>
      </c>
      <c r="B19">
        <f>_xlfn.T.TEST(C2:C13,G2:G13,1,1)</f>
        <v>9.8383043108484405E-2</v>
      </c>
    </row>
    <row r="20" spans="1:2" x14ac:dyDescent="0.2">
      <c r="A20" t="s">
        <v>204</v>
      </c>
      <c r="B20">
        <f>_xlfn.T.TEST(D2:D13,H2:H13,1,1)</f>
        <v>2.3121219408915272E-2</v>
      </c>
    </row>
    <row r="23" spans="1:2" x14ac:dyDescent="0.2">
      <c r="A23" t="s">
        <v>207</v>
      </c>
    </row>
    <row r="24" spans="1:2" x14ac:dyDescent="0.2">
      <c r="A24" t="s">
        <v>205</v>
      </c>
      <c r="B24">
        <f>_xlfn.T.TEST(B2:B13,K2:K13,1,1)</f>
        <v>4.5110155661425349E-3</v>
      </c>
    </row>
    <row r="25" spans="1:2" x14ac:dyDescent="0.2">
      <c r="A25" t="s">
        <v>203</v>
      </c>
      <c r="B25">
        <f>_xlfn.T.TEST(C2:C13,L2:L13,1,1)</f>
        <v>1.226417990454173E-2</v>
      </c>
    </row>
    <row r="26" spans="1:2" x14ac:dyDescent="0.2">
      <c r="A26" t="s">
        <v>204</v>
      </c>
      <c r="B26">
        <f>_xlfn.T.TEST(D2:D13,M2:M13,1,1)</f>
        <v>0.39356256976633375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B86B-74BF-6440-B790-821CFF5EC258}">
  <dimension ref="A1:N80"/>
  <sheetViews>
    <sheetView workbookViewId="0">
      <selection activeCell="G11" sqref="G11"/>
    </sheetView>
  </sheetViews>
  <sheetFormatPr baseColWidth="10" defaultRowHeight="16" x14ac:dyDescent="0.2"/>
  <cols>
    <col min="1" max="1" width="59.33203125" bestFit="1" customWidth="1"/>
  </cols>
  <sheetData>
    <row r="1" spans="1:14" x14ac:dyDescent="0.2">
      <c r="A1" s="2"/>
      <c r="B1" s="2" t="s">
        <v>1</v>
      </c>
      <c r="C1" s="2" t="s">
        <v>2</v>
      </c>
      <c r="D1" s="2" t="s">
        <v>3</v>
      </c>
      <c r="E1" s="2" t="s">
        <v>12</v>
      </c>
      <c r="F1" s="2" t="s">
        <v>16</v>
      </c>
      <c r="G1" s="2" t="s">
        <v>15</v>
      </c>
      <c r="H1" s="2" t="s">
        <v>17</v>
      </c>
      <c r="I1" s="2" t="s">
        <v>18</v>
      </c>
      <c r="J1" s="2" t="s">
        <v>13</v>
      </c>
      <c r="K1" s="2" t="s">
        <v>81</v>
      </c>
      <c r="L1" s="2" t="s">
        <v>82</v>
      </c>
      <c r="M1" s="2" t="s">
        <v>83</v>
      </c>
      <c r="N1" s="2"/>
    </row>
    <row r="2" spans="1:14" x14ac:dyDescent="0.2">
      <c r="A2" s="2" t="s">
        <v>0</v>
      </c>
      <c r="B2">
        <v>2077.6999999999998</v>
      </c>
      <c r="C2">
        <v>15.4</v>
      </c>
      <c r="D2">
        <v>0.56999999999999995</v>
      </c>
      <c r="E2">
        <v>7</v>
      </c>
      <c r="F2" s="2">
        <v>2647.09</v>
      </c>
      <c r="G2" s="2">
        <v>21.45</v>
      </c>
      <c r="H2" s="2">
        <v>0.44500000000000001</v>
      </c>
      <c r="I2" s="2">
        <v>6</v>
      </c>
      <c r="J2" s="2">
        <v>15.98</v>
      </c>
      <c r="K2">
        <v>2001.7</v>
      </c>
      <c r="L2">
        <v>14.2</v>
      </c>
      <c r="M2">
        <v>0.57899999999999996</v>
      </c>
    </row>
    <row r="3" spans="1:14" x14ac:dyDescent="0.2">
      <c r="A3" s="2" t="s">
        <v>4</v>
      </c>
      <c r="B3" s="2">
        <v>1885.6</v>
      </c>
      <c r="C3" s="2">
        <v>12.64</v>
      </c>
      <c r="D3" s="2">
        <v>0.55400000000000005</v>
      </c>
      <c r="E3" s="2">
        <v>7</v>
      </c>
      <c r="F3" s="2">
        <v>2006.7</v>
      </c>
      <c r="G3" s="2">
        <v>12.47</v>
      </c>
      <c r="H3" s="2">
        <v>0.64100000000000001</v>
      </c>
      <c r="I3" s="2">
        <v>18</v>
      </c>
      <c r="J3" s="2">
        <v>17.72</v>
      </c>
      <c r="K3">
        <v>1841.61</v>
      </c>
      <c r="L3">
        <v>11.75</v>
      </c>
      <c r="M3">
        <v>0.64200000000000002</v>
      </c>
    </row>
    <row r="4" spans="1:14" x14ac:dyDescent="0.2">
      <c r="A4" s="2" t="s">
        <v>5</v>
      </c>
      <c r="B4" s="2">
        <v>2043.19</v>
      </c>
      <c r="C4" s="2">
        <v>20.6</v>
      </c>
      <c r="D4" s="2">
        <v>0.70899999999999996</v>
      </c>
      <c r="E4" s="2">
        <v>9</v>
      </c>
      <c r="F4" s="2">
        <v>2348.5500000000002</v>
      </c>
      <c r="G4" s="2">
        <v>19.89</v>
      </c>
      <c r="H4" s="2">
        <v>0.69499999999999995</v>
      </c>
      <c r="I4" s="2">
        <v>9</v>
      </c>
      <c r="J4" s="2">
        <v>15.47</v>
      </c>
      <c r="K4">
        <v>1673.53</v>
      </c>
      <c r="L4">
        <v>10.33</v>
      </c>
      <c r="M4">
        <v>0.69499999999999995</v>
      </c>
    </row>
    <row r="5" spans="1:14" x14ac:dyDescent="0.2">
      <c r="A5" s="2" t="s">
        <v>6</v>
      </c>
      <c r="B5" s="2">
        <v>2207.33</v>
      </c>
      <c r="C5" s="2">
        <v>19.72</v>
      </c>
      <c r="D5" s="2">
        <v>0.621</v>
      </c>
      <c r="E5" s="2">
        <v>6</v>
      </c>
      <c r="F5" s="2">
        <v>2301.46</v>
      </c>
      <c r="G5" s="2">
        <v>18.03</v>
      </c>
      <c r="H5" s="2">
        <v>0.56299999999999994</v>
      </c>
      <c r="I5" s="2">
        <v>10</v>
      </c>
      <c r="J5" s="2">
        <v>13.28</v>
      </c>
      <c r="K5">
        <v>1728.78</v>
      </c>
      <c r="L5">
        <v>10.89</v>
      </c>
      <c r="M5">
        <v>0.57199999999999995</v>
      </c>
    </row>
    <row r="6" spans="1:14" x14ac:dyDescent="0.2">
      <c r="A6" s="2" t="s">
        <v>7</v>
      </c>
      <c r="B6" s="2">
        <v>2613.62</v>
      </c>
      <c r="C6" s="2">
        <v>15.95</v>
      </c>
      <c r="D6" s="2">
        <v>0.47099999999999997</v>
      </c>
      <c r="E6" s="2">
        <v>9</v>
      </c>
      <c r="F6" s="2">
        <v>1904.36</v>
      </c>
      <c r="G6" s="2">
        <v>14.58</v>
      </c>
      <c r="H6" s="2">
        <v>0.55500000000000005</v>
      </c>
      <c r="I6" s="2">
        <v>6</v>
      </c>
      <c r="J6" s="2">
        <v>15.55</v>
      </c>
      <c r="K6">
        <v>1912.17</v>
      </c>
      <c r="L6">
        <v>11.87</v>
      </c>
      <c r="M6">
        <v>0.56399999999999995</v>
      </c>
    </row>
    <row r="7" spans="1:14" x14ac:dyDescent="0.2">
      <c r="A7" s="2" t="s">
        <v>8</v>
      </c>
      <c r="B7" s="2">
        <v>2355.41</v>
      </c>
      <c r="C7" s="2">
        <v>17.46</v>
      </c>
      <c r="D7" s="2">
        <v>0.52400000000000002</v>
      </c>
      <c r="E7" s="2">
        <v>25</v>
      </c>
      <c r="F7" s="2">
        <v>3040.63</v>
      </c>
      <c r="G7" s="2">
        <v>26.75</v>
      </c>
      <c r="H7" s="2">
        <v>0.36699999999999999</v>
      </c>
      <c r="I7" s="2">
        <v>6</v>
      </c>
      <c r="J7" s="2">
        <v>14.37</v>
      </c>
      <c r="K7">
        <v>1905.51</v>
      </c>
      <c r="L7">
        <v>11.91</v>
      </c>
      <c r="M7">
        <v>0.54400000000000004</v>
      </c>
    </row>
    <row r="8" spans="1:14" x14ac:dyDescent="0.2">
      <c r="A8" s="2" t="s">
        <v>9</v>
      </c>
      <c r="B8" s="2">
        <v>1702.52</v>
      </c>
      <c r="C8" s="2">
        <v>9.9</v>
      </c>
      <c r="D8" s="2">
        <v>0.60599999999999998</v>
      </c>
      <c r="E8" s="2">
        <v>7</v>
      </c>
      <c r="F8" s="2">
        <v>1983.63</v>
      </c>
      <c r="G8" s="2">
        <v>14.54</v>
      </c>
      <c r="H8" s="2">
        <v>0.45</v>
      </c>
      <c r="I8" s="2">
        <v>10</v>
      </c>
      <c r="J8" s="3">
        <v>0.14249999999999999</v>
      </c>
      <c r="K8">
        <v>1887.02</v>
      </c>
      <c r="L8">
        <v>11.69</v>
      </c>
      <c r="M8">
        <v>0.45</v>
      </c>
    </row>
    <row r="9" spans="1:14" x14ac:dyDescent="0.2">
      <c r="A9" s="2" t="s">
        <v>10</v>
      </c>
      <c r="B9" s="2">
        <v>2651.86</v>
      </c>
      <c r="C9" s="2">
        <v>17.149999999999999</v>
      </c>
      <c r="D9" s="2">
        <v>0.219</v>
      </c>
      <c r="E9" s="2">
        <v>7</v>
      </c>
      <c r="F9" s="2">
        <v>3007.05</v>
      </c>
      <c r="G9" s="2">
        <v>18.54</v>
      </c>
      <c r="H9" s="2">
        <v>0.25700000000000001</v>
      </c>
      <c r="I9" s="2">
        <v>10</v>
      </c>
      <c r="J9" s="2">
        <v>14.25</v>
      </c>
      <c r="K9">
        <v>1847.41</v>
      </c>
      <c r="L9">
        <v>12.09</v>
      </c>
      <c r="M9">
        <v>0.64600000000000002</v>
      </c>
    </row>
    <row r="10" spans="1:14" x14ac:dyDescent="0.2">
      <c r="A10" s="2" t="s">
        <v>22</v>
      </c>
      <c r="B10">
        <f>GEOMEAN(B2:B9)</f>
        <v>2169.6767016128674</v>
      </c>
      <c r="C10">
        <f t="shared" ref="C10:K10" si="0">GEOMEAN(C2:C9)</f>
        <v>15.725094768592363</v>
      </c>
      <c r="D10">
        <f t="shared" si="0"/>
        <v>0.50968156266846343</v>
      </c>
      <c r="E10">
        <f t="shared" si="0"/>
        <v>8.5727676827960444</v>
      </c>
      <c r="F10">
        <f>GEOMEAN(F2:F9)</f>
        <v>2368.8962639408001</v>
      </c>
      <c r="G10">
        <f t="shared" si="0"/>
        <v>17.801637917719837</v>
      </c>
      <c r="H10">
        <f t="shared" si="0"/>
        <v>0.47585757881059554</v>
      </c>
      <c r="I10">
        <f t="shared" si="0"/>
        <v>8.7699293698023659</v>
      </c>
      <c r="J10">
        <f t="shared" si="0"/>
        <v>8.4662915777816785</v>
      </c>
      <c r="K10">
        <f>GEOMEAN(K2:K9)</f>
        <v>1847.0596728422424</v>
      </c>
      <c r="L10">
        <f>GEOMEAN(L2:L9)</f>
        <v>11.796609765374559</v>
      </c>
      <c r="M10">
        <f t="shared" ref="M10" si="1">GEOMEAN(M2:M9)</f>
        <v>0.58208938906035312</v>
      </c>
    </row>
    <row r="11" spans="1:14" x14ac:dyDescent="0.2">
      <c r="B11">
        <f>STDEV(B2:B10)</f>
        <v>313.30933412348617</v>
      </c>
      <c r="C11">
        <f t="shared" ref="C11:M11" si="2">STDEV(C2:C10)</f>
        <v>3.3044885880789003</v>
      </c>
      <c r="D11">
        <f t="shared" si="2"/>
        <v>0.13642948753147696</v>
      </c>
      <c r="E11">
        <f t="shared" si="2"/>
        <v>5.9040152801045176</v>
      </c>
      <c r="F11">
        <f t="shared" si="2"/>
        <v>422.34386809570918</v>
      </c>
      <c r="G11">
        <f t="shared" si="2"/>
        <v>4.2741981208561137</v>
      </c>
      <c r="H11">
        <f t="shared" si="2"/>
        <v>0.13576415218141982</v>
      </c>
      <c r="I11">
        <f t="shared" si="2"/>
        <v>3.7114759787497502</v>
      </c>
      <c r="J11">
        <f t="shared" si="2"/>
        <v>5.3944559831448728</v>
      </c>
      <c r="K11">
        <f t="shared" si="2"/>
        <v>98.265277459726136</v>
      </c>
      <c r="L11">
        <f t="shared" si="2"/>
        <v>1.0519540646945997</v>
      </c>
      <c r="M11">
        <f t="shared" si="2"/>
        <v>7.0375148303660998E-2</v>
      </c>
    </row>
    <row r="16" spans="1:14" x14ac:dyDescent="0.2">
      <c r="A16" t="s">
        <v>24</v>
      </c>
      <c r="B16" t="s">
        <v>24</v>
      </c>
      <c r="E16" t="s">
        <v>24</v>
      </c>
      <c r="H16" t="s">
        <v>24</v>
      </c>
      <c r="N16" t="s">
        <v>24</v>
      </c>
    </row>
    <row r="17" spans="1:14" x14ac:dyDescent="0.2">
      <c r="A17" t="s">
        <v>25</v>
      </c>
      <c r="B17" t="s">
        <v>25</v>
      </c>
      <c r="E17" t="s">
        <v>25</v>
      </c>
      <c r="H17" t="s">
        <v>25</v>
      </c>
      <c r="N17" t="s">
        <v>25</v>
      </c>
    </row>
    <row r="18" spans="1:14" x14ac:dyDescent="0.2">
      <c r="A18" t="s">
        <v>26</v>
      </c>
      <c r="B18" t="s">
        <v>26</v>
      </c>
      <c r="E18" t="s">
        <v>26</v>
      </c>
      <c r="H18" t="s">
        <v>26</v>
      </c>
      <c r="N18" t="s">
        <v>26</v>
      </c>
    </row>
    <row r="19" spans="1:14" x14ac:dyDescent="0.2">
      <c r="A19" t="s">
        <v>27</v>
      </c>
      <c r="B19" t="s">
        <v>27</v>
      </c>
      <c r="E19" t="s">
        <v>27</v>
      </c>
      <c r="H19" t="s">
        <v>27</v>
      </c>
      <c r="N19" t="s">
        <v>27</v>
      </c>
    </row>
    <row r="20" spans="1:14" x14ac:dyDescent="0.2">
      <c r="A20" t="s">
        <v>28</v>
      </c>
      <c r="B20" t="s">
        <v>28</v>
      </c>
      <c r="E20" t="s">
        <v>28</v>
      </c>
      <c r="H20" t="s">
        <v>28</v>
      </c>
      <c r="N20" t="s">
        <v>28</v>
      </c>
    </row>
    <row r="21" spans="1:14" x14ac:dyDescent="0.2">
      <c r="A21" t="s">
        <v>29</v>
      </c>
      <c r="B21" t="s">
        <v>29</v>
      </c>
      <c r="E21" t="s">
        <v>29</v>
      </c>
      <c r="H21" t="s">
        <v>29</v>
      </c>
      <c r="N21" t="s">
        <v>29</v>
      </c>
    </row>
    <row r="22" spans="1:14" x14ac:dyDescent="0.2">
      <c r="A22" t="s">
        <v>30</v>
      </c>
      <c r="B22" t="s">
        <v>30</v>
      </c>
      <c r="E22" t="s">
        <v>30</v>
      </c>
      <c r="H22" t="s">
        <v>30</v>
      </c>
      <c r="N22" t="s">
        <v>30</v>
      </c>
    </row>
    <row r="23" spans="1:14" x14ac:dyDescent="0.2">
      <c r="A23" t="s">
        <v>31</v>
      </c>
      <c r="B23" t="s">
        <v>31</v>
      </c>
      <c r="E23" t="s">
        <v>31</v>
      </c>
      <c r="H23" t="s">
        <v>31</v>
      </c>
      <c r="N23" t="s">
        <v>31</v>
      </c>
    </row>
    <row r="24" spans="1:14" x14ac:dyDescent="0.2">
      <c r="A24" t="s">
        <v>32</v>
      </c>
      <c r="B24" t="s">
        <v>32</v>
      </c>
      <c r="E24" t="s">
        <v>32</v>
      </c>
      <c r="H24" t="s">
        <v>32</v>
      </c>
      <c r="N24" t="s">
        <v>32</v>
      </c>
    </row>
    <row r="25" spans="1:14" x14ac:dyDescent="0.2">
      <c r="A25" t="s">
        <v>41</v>
      </c>
      <c r="B25" t="s">
        <v>41</v>
      </c>
      <c r="E25" t="s">
        <v>36</v>
      </c>
      <c r="H25" t="s">
        <v>41</v>
      </c>
      <c r="N25" t="s">
        <v>33</v>
      </c>
    </row>
    <row r="26" spans="1:14" x14ac:dyDescent="0.2">
      <c r="A26" t="s">
        <v>76</v>
      </c>
      <c r="B26" t="s">
        <v>36</v>
      </c>
      <c r="E26" t="s">
        <v>41</v>
      </c>
      <c r="H26" t="s">
        <v>33</v>
      </c>
      <c r="N26" t="s">
        <v>34</v>
      </c>
    </row>
    <row r="27" spans="1:14" x14ac:dyDescent="0.2">
      <c r="A27" t="s">
        <v>75</v>
      </c>
      <c r="B27" t="s">
        <v>33</v>
      </c>
      <c r="E27" t="s">
        <v>33</v>
      </c>
      <c r="H27" t="s">
        <v>34</v>
      </c>
      <c r="N27" t="s">
        <v>35</v>
      </c>
    </row>
    <row r="28" spans="1:14" x14ac:dyDescent="0.2">
      <c r="A28" t="s">
        <v>36</v>
      </c>
      <c r="B28" t="s">
        <v>77</v>
      </c>
      <c r="E28" t="s">
        <v>34</v>
      </c>
      <c r="H28" t="s">
        <v>36</v>
      </c>
      <c r="N28" t="s">
        <v>36</v>
      </c>
    </row>
    <row r="29" spans="1:14" x14ac:dyDescent="0.2">
      <c r="A29" t="s">
        <v>35</v>
      </c>
      <c r="B29" t="s">
        <v>34</v>
      </c>
      <c r="E29" t="s">
        <v>35</v>
      </c>
      <c r="H29" t="s">
        <v>35</v>
      </c>
      <c r="N29" t="s">
        <v>75</v>
      </c>
    </row>
    <row r="30" spans="1:14" x14ac:dyDescent="0.2">
      <c r="A30" t="s">
        <v>33</v>
      </c>
      <c r="B30" t="s">
        <v>35</v>
      </c>
      <c r="E30" t="s">
        <v>77</v>
      </c>
      <c r="H30" t="s">
        <v>75</v>
      </c>
      <c r="N30" t="s">
        <v>38</v>
      </c>
    </row>
    <row r="31" spans="1:14" x14ac:dyDescent="0.2">
      <c r="A31" t="s">
        <v>34</v>
      </c>
      <c r="B31" t="s">
        <v>75</v>
      </c>
      <c r="E31" t="s">
        <v>48</v>
      </c>
      <c r="F31" t="s">
        <v>49</v>
      </c>
      <c r="H31" t="s">
        <v>77</v>
      </c>
      <c r="N31" t="s">
        <v>39</v>
      </c>
    </row>
    <row r="32" spans="1:14" x14ac:dyDescent="0.2">
      <c r="A32" t="s">
        <v>77</v>
      </c>
      <c r="B32" t="s">
        <v>46</v>
      </c>
      <c r="C32" t="s">
        <v>47</v>
      </c>
      <c r="E32" t="s">
        <v>75</v>
      </c>
      <c r="H32" t="s">
        <v>48</v>
      </c>
      <c r="I32" t="s">
        <v>49</v>
      </c>
      <c r="N32" t="s">
        <v>40</v>
      </c>
    </row>
    <row r="33" spans="1:14" x14ac:dyDescent="0.2">
      <c r="N33" t="s">
        <v>41</v>
      </c>
    </row>
    <row r="40" spans="1:14" x14ac:dyDescent="0.2">
      <c r="A40" t="s">
        <v>24</v>
      </c>
      <c r="E40" t="s">
        <v>24</v>
      </c>
    </row>
    <row r="41" spans="1:14" x14ac:dyDescent="0.2">
      <c r="A41" t="s">
        <v>25</v>
      </c>
      <c r="E41" t="s">
        <v>25</v>
      </c>
    </row>
    <row r="42" spans="1:14" x14ac:dyDescent="0.2">
      <c r="A42" t="s">
        <v>26</v>
      </c>
      <c r="E42" t="s">
        <v>26</v>
      </c>
    </row>
    <row r="43" spans="1:14" x14ac:dyDescent="0.2">
      <c r="A43" t="s">
        <v>27</v>
      </c>
      <c r="E43" t="s">
        <v>27</v>
      </c>
    </row>
    <row r="44" spans="1:14" x14ac:dyDescent="0.2">
      <c r="A44" t="s">
        <v>28</v>
      </c>
      <c r="E44" t="s">
        <v>28</v>
      </c>
    </row>
    <row r="45" spans="1:14" x14ac:dyDescent="0.2">
      <c r="A45" t="s">
        <v>29</v>
      </c>
      <c r="E45" t="s">
        <v>29</v>
      </c>
    </row>
    <row r="46" spans="1:14" x14ac:dyDescent="0.2">
      <c r="A46" t="s">
        <v>30</v>
      </c>
      <c r="E46" t="s">
        <v>30</v>
      </c>
    </row>
    <row r="47" spans="1:14" x14ac:dyDescent="0.2">
      <c r="A47" t="s">
        <v>31</v>
      </c>
      <c r="E47" t="s">
        <v>31</v>
      </c>
    </row>
    <row r="48" spans="1:14" x14ac:dyDescent="0.2">
      <c r="A48" t="s">
        <v>32</v>
      </c>
      <c r="E48" t="s">
        <v>32</v>
      </c>
    </row>
    <row r="49" spans="1:9" x14ac:dyDescent="0.2">
      <c r="A49" t="s">
        <v>41</v>
      </c>
      <c r="E49" t="s">
        <v>33</v>
      </c>
    </row>
    <row r="50" spans="1:9" x14ac:dyDescent="0.2">
      <c r="A50" t="s">
        <v>33</v>
      </c>
      <c r="E50" t="s">
        <v>34</v>
      </c>
    </row>
    <row r="51" spans="1:9" x14ac:dyDescent="0.2">
      <c r="A51" t="s">
        <v>34</v>
      </c>
      <c r="E51" t="s">
        <v>36</v>
      </c>
    </row>
    <row r="52" spans="1:9" x14ac:dyDescent="0.2">
      <c r="A52" t="s">
        <v>78</v>
      </c>
      <c r="E52" t="s">
        <v>35</v>
      </c>
    </row>
    <row r="53" spans="1:9" x14ac:dyDescent="0.2">
      <c r="A53" t="s">
        <v>36</v>
      </c>
      <c r="E53" t="s">
        <v>41</v>
      </c>
    </row>
    <row r="54" spans="1:9" x14ac:dyDescent="0.2">
      <c r="A54" t="s">
        <v>79</v>
      </c>
      <c r="E54" t="s">
        <v>75</v>
      </c>
    </row>
    <row r="55" spans="1:9" x14ac:dyDescent="0.2">
      <c r="A55" t="s">
        <v>48</v>
      </c>
      <c r="B55" t="s">
        <v>49</v>
      </c>
      <c r="E55" t="s">
        <v>38</v>
      </c>
    </row>
    <row r="56" spans="1:9" x14ac:dyDescent="0.2">
      <c r="A56" t="s">
        <v>76</v>
      </c>
      <c r="E56" t="s">
        <v>80</v>
      </c>
    </row>
    <row r="62" spans="1:9" x14ac:dyDescent="0.2">
      <c r="I62" t="s">
        <v>24</v>
      </c>
    </row>
    <row r="63" spans="1:9" x14ac:dyDescent="0.2">
      <c r="A63" t="s">
        <v>24</v>
      </c>
      <c r="I63" t="s">
        <v>25</v>
      </c>
    </row>
    <row r="64" spans="1:9" x14ac:dyDescent="0.2">
      <c r="A64" t="s">
        <v>25</v>
      </c>
      <c r="I64" t="s">
        <v>26</v>
      </c>
    </row>
    <row r="65" spans="1:9" x14ac:dyDescent="0.2">
      <c r="A65" t="s">
        <v>26</v>
      </c>
      <c r="I65" t="s">
        <v>27</v>
      </c>
    </row>
    <row r="66" spans="1:9" x14ac:dyDescent="0.2">
      <c r="A66" t="s">
        <v>27</v>
      </c>
      <c r="I66" t="s">
        <v>28</v>
      </c>
    </row>
    <row r="67" spans="1:9" x14ac:dyDescent="0.2">
      <c r="A67" t="s">
        <v>28</v>
      </c>
      <c r="I67" t="s">
        <v>29</v>
      </c>
    </row>
    <row r="68" spans="1:9" x14ac:dyDescent="0.2">
      <c r="A68" t="s">
        <v>29</v>
      </c>
      <c r="I68" t="s">
        <v>30</v>
      </c>
    </row>
    <row r="69" spans="1:9" x14ac:dyDescent="0.2">
      <c r="A69" t="s">
        <v>30</v>
      </c>
      <c r="I69" t="s">
        <v>31</v>
      </c>
    </row>
    <row r="70" spans="1:9" x14ac:dyDescent="0.2">
      <c r="A70" t="s">
        <v>31</v>
      </c>
      <c r="I70" t="s">
        <v>32</v>
      </c>
    </row>
    <row r="71" spans="1:9" x14ac:dyDescent="0.2">
      <c r="A71" t="s">
        <v>32</v>
      </c>
      <c r="I71" t="s">
        <v>33</v>
      </c>
    </row>
    <row r="72" spans="1:9" x14ac:dyDescent="0.2">
      <c r="A72" t="s">
        <v>33</v>
      </c>
      <c r="I72" t="s">
        <v>34</v>
      </c>
    </row>
    <row r="73" spans="1:9" x14ac:dyDescent="0.2">
      <c r="A73" t="s">
        <v>34</v>
      </c>
      <c r="I73" t="s">
        <v>35</v>
      </c>
    </row>
    <row r="74" spans="1:9" x14ac:dyDescent="0.2">
      <c r="A74" t="s">
        <v>35</v>
      </c>
      <c r="I74" t="s">
        <v>36</v>
      </c>
    </row>
    <row r="75" spans="1:9" x14ac:dyDescent="0.2">
      <c r="A75" t="s">
        <v>36</v>
      </c>
      <c r="I75" t="s">
        <v>75</v>
      </c>
    </row>
    <row r="76" spans="1:9" x14ac:dyDescent="0.2">
      <c r="A76" t="s">
        <v>75</v>
      </c>
      <c r="I76" t="s">
        <v>38</v>
      </c>
    </row>
    <row r="77" spans="1:9" x14ac:dyDescent="0.2">
      <c r="A77" t="s">
        <v>38</v>
      </c>
      <c r="I77" t="s">
        <v>39</v>
      </c>
    </row>
    <row r="78" spans="1:9" x14ac:dyDescent="0.2">
      <c r="A78" t="s">
        <v>39</v>
      </c>
      <c r="I78" t="s">
        <v>40</v>
      </c>
    </row>
    <row r="79" spans="1:9" x14ac:dyDescent="0.2">
      <c r="A79" t="s">
        <v>40</v>
      </c>
      <c r="I79" t="s">
        <v>41</v>
      </c>
    </row>
    <row r="80" spans="1:9" x14ac:dyDescent="0.2">
      <c r="A80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770</vt:lpstr>
      <vt:lpstr>Both</vt:lpstr>
      <vt:lpstr>Till2024</vt:lpstr>
      <vt:lpstr>Sheet6</vt:lpstr>
      <vt:lpstr>Sheet5</vt:lpstr>
      <vt:lpstr>1440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Curiel</dc:creator>
  <cp:lastModifiedBy>Ruben Curiel</cp:lastModifiedBy>
  <dcterms:created xsi:type="dcterms:W3CDTF">2025-05-17T08:23:06Z</dcterms:created>
  <dcterms:modified xsi:type="dcterms:W3CDTF">2025-06-02T19:15:30Z</dcterms:modified>
</cp:coreProperties>
</file>